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<sst xmlns="http://schemas.openxmlformats.org/spreadsheetml/2006/main" count="2" uniqueCount="2">
  <si>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商品ID</t>
  </si>
  <si>
    <t>红线价格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</si>
</sst>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340;&#22810;&#22810;&#20135;&#2169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0314更新"/>
      <sheetName val="旧"/>
      <sheetName val="Sheet2"/>
      <sheetName val="Sheet3"/>
      <sheetName val="成本价"/>
      <sheetName val="Sheet1"/>
      <sheetName val="Sheet4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大马哈15cm</v>
          </cell>
          <cell r="B2">
            <v>5.126</v>
          </cell>
          <cell r="C2" t="str">
            <v>897058144119</v>
          </cell>
          <cell r="D2" t="str">
            <v>907029242021</v>
          </cell>
        </row>
        <row r="3">
          <cell r="A3" t="str">
            <v>大马哈29cm</v>
          </cell>
          <cell r="B3">
            <v>8.03</v>
          </cell>
          <cell r="C3" t="str">
            <v>897058144119</v>
          </cell>
          <cell r="D3" t="str">
            <v>907029242021</v>
          </cell>
        </row>
        <row r="4">
          <cell r="A4" t="str">
            <v>大马哈41cm</v>
          </cell>
          <cell r="B4">
            <v>15.95</v>
          </cell>
          <cell r="C4" t="str">
            <v>897058144119</v>
          </cell>
          <cell r="D4" t="str">
            <v>907029242021</v>
          </cell>
        </row>
        <row r="5">
          <cell r="A5" t="str">
            <v>方块立体祝福10cm</v>
          </cell>
          <cell r="B5">
            <v>8.162</v>
          </cell>
          <cell r="C5" t="str">
            <v>897082593662</v>
          </cell>
          <cell r="D5" t="str">
            <v>907029216556</v>
          </cell>
        </row>
        <row r="6">
          <cell r="A6" t="str">
            <v>方块立体祝福6cm</v>
          </cell>
          <cell r="B6">
            <v>4.334</v>
          </cell>
          <cell r="C6" t="str">
            <v>897082593662</v>
          </cell>
          <cell r="D6" t="str">
            <v>907029216556</v>
          </cell>
        </row>
        <row r="7">
          <cell r="A7" t="str">
            <v>龙马精神关节可动龙35cm</v>
          </cell>
          <cell r="B7">
            <v>10.329</v>
          </cell>
          <cell r="C7" t="str">
            <v>897088671672</v>
          </cell>
          <cell r="D7" t="str">
            <v>907029216180</v>
          </cell>
        </row>
        <row r="8">
          <cell r="A8" t="str">
            <v>龙马精神关节可动龙58cm</v>
          </cell>
          <cell r="B8">
            <v>51.37</v>
          </cell>
          <cell r="C8" t="str">
            <v>897088671672</v>
          </cell>
          <cell r="D8" t="str">
            <v>907029216180</v>
          </cell>
        </row>
        <row r="9">
          <cell r="A9" t="str">
            <v>哭哭马</v>
          </cell>
          <cell r="B9">
            <v>12.73844</v>
          </cell>
        </row>
        <row r="10">
          <cell r="A10" t="str">
            <v>黑马</v>
          </cell>
          <cell r="B10">
            <v>8.162</v>
          </cell>
          <cell r="C10" t="str">
            <v>897232491873</v>
          </cell>
          <cell r="D10" t="str">
            <v>907029288973</v>
          </cell>
        </row>
        <row r="11">
          <cell r="A11" t="str">
            <v>赛博朋克机械手15cm</v>
          </cell>
          <cell r="B11">
            <v>8.49596</v>
          </cell>
          <cell r="C11" t="str">
            <v>897255952891</v>
          </cell>
          <cell r="D11" t="str">
            <v>907029134717</v>
          </cell>
        </row>
        <row r="12">
          <cell r="A12" t="str">
            <v>手榴弹MK2</v>
          </cell>
          <cell r="B12">
            <v>11.33</v>
          </cell>
          <cell r="C12" t="str">
            <v>897813496861</v>
          </cell>
          <cell r="D12" t="str">
            <v>907029928138</v>
          </cell>
          <cell r="E12" t="str">
            <v>912466142886</v>
          </cell>
        </row>
        <row r="13">
          <cell r="A13" t="str">
            <v>南极生物</v>
          </cell>
          <cell r="B13">
            <v>6.71</v>
          </cell>
          <cell r="C13" t="str">
            <v>897870827177</v>
          </cell>
          <cell r="D13" t="str">
            <v>907029810569</v>
          </cell>
        </row>
        <row r="14">
          <cell r="A14" t="str">
            <v>KT拼豆漏斗</v>
          </cell>
          <cell r="B14">
            <v>5.786</v>
          </cell>
          <cell r="C14" t="str">
            <v>898477855965</v>
          </cell>
          <cell r="D14" t="str">
            <v>907029337163</v>
          </cell>
          <cell r="E14" t="str">
            <v>907009316317</v>
          </cell>
          <cell r="F14" t="str">
            <v>912314039588</v>
          </cell>
        </row>
        <row r="15">
          <cell r="A15" t="str">
            <v>忍者星型指尖陀螺</v>
          </cell>
          <cell r="B15">
            <v>6.88556</v>
          </cell>
          <cell r="C15" t="str">
            <v>898497569377</v>
          </cell>
          <cell r="D15" t="str">
            <v>907029360522</v>
          </cell>
        </row>
        <row r="16">
          <cell r="A16" t="str">
            <v>寻秦记新版</v>
          </cell>
          <cell r="B16">
            <v>7.1456</v>
          </cell>
          <cell r="C16" t="str">
            <v>903149250831</v>
          </cell>
          <cell r="D16" t="str">
            <v>898591125422</v>
          </cell>
          <cell r="E16" t="str">
            <v>907029643891</v>
          </cell>
          <cell r="F16" t="str">
            <v>907029024862</v>
          </cell>
        </row>
        <row r="17">
          <cell r="A17" t="str">
            <v>寻秦记旧版</v>
          </cell>
          <cell r="B17">
            <v>6.974</v>
          </cell>
          <cell r="C17" t="str">
            <v>903149250831</v>
          </cell>
          <cell r="D17" t="str">
            <v>898591125422</v>
          </cell>
          <cell r="E17" t="str">
            <v>907029643891</v>
          </cell>
          <cell r="F17" t="str">
            <v>907029024862</v>
          </cell>
        </row>
        <row r="18">
          <cell r="A18" t="str">
            <v>条纹蜥蜴</v>
          </cell>
          <cell r="B18">
            <v>7.21875</v>
          </cell>
          <cell r="C18" t="str">
            <v>899645779971</v>
          </cell>
          <cell r="D18" t="str">
            <v>907029881192</v>
          </cell>
        </row>
        <row r="19">
          <cell r="A19" t="str">
            <v>凶狠猫咪</v>
          </cell>
          <cell r="B19">
            <v>4.7663</v>
          </cell>
          <cell r="C19" t="str">
            <v>899648175298</v>
          </cell>
          <cell r="D19" t="str">
            <v>907029466299</v>
          </cell>
        </row>
        <row r="20">
          <cell r="A20" t="str">
            <v>爱心大眼章鱼</v>
          </cell>
          <cell r="B20">
            <v>5.8245</v>
          </cell>
          <cell r="C20" t="str">
            <v>899650410824</v>
          </cell>
          <cell r="D20" t="str">
            <v>907029156661</v>
          </cell>
        </row>
        <row r="21">
          <cell r="A21" t="str">
            <v>小龙</v>
          </cell>
          <cell r="B21">
            <v>6.5967</v>
          </cell>
          <cell r="C21" t="str">
            <v>899651366347</v>
          </cell>
          <cell r="D21" t="str">
            <v>907029822270</v>
          </cell>
        </row>
        <row r="22">
          <cell r="A22" t="str">
            <v>龙蛋</v>
          </cell>
          <cell r="B22">
            <v>12.64989</v>
          </cell>
          <cell r="C22" t="str">
            <v>899651366347</v>
          </cell>
          <cell r="D22" t="str">
            <v>907029822270</v>
          </cell>
        </row>
        <row r="23">
          <cell r="A23" t="str">
            <v>龙加蛋</v>
          </cell>
          <cell r="B23">
            <v>16.49659</v>
          </cell>
          <cell r="C23" t="str">
            <v>899651366347</v>
          </cell>
          <cell r="D23" t="str">
            <v>907029822270</v>
          </cell>
        </row>
        <row r="24">
          <cell r="A24" t="str">
            <v>多色蜘蛛</v>
          </cell>
          <cell r="B24">
            <v>9.9</v>
          </cell>
          <cell r="C24" t="str">
            <v>899659177176</v>
          </cell>
          <cell r="D24" t="str">
            <v>907029596135</v>
          </cell>
        </row>
        <row r="25">
          <cell r="A25" t="str">
            <v>方块毛毛虫</v>
          </cell>
          <cell r="B25">
            <v>7.04</v>
          </cell>
          <cell r="C25" t="str">
            <v>899665522815</v>
          </cell>
          <cell r="D25" t="str">
            <v>907029274993</v>
          </cell>
        </row>
        <row r="26">
          <cell r="A26" t="str">
            <v>爱心龙</v>
          </cell>
          <cell r="B26">
            <v>9.185</v>
          </cell>
          <cell r="C26" t="str">
            <v>899669052018</v>
          </cell>
          <cell r="D26" t="str">
            <v>907029465487</v>
          </cell>
        </row>
        <row r="27">
          <cell r="A27" t="str">
            <v>拼装小马</v>
          </cell>
          <cell r="B27">
            <v>9.9</v>
          </cell>
          <cell r="C27" t="str">
            <v>899672239782</v>
          </cell>
          <cell r="D27" t="str">
            <v>907029369901</v>
          </cell>
        </row>
        <row r="28">
          <cell r="A28" t="str">
            <v>米菲兔豆铲</v>
          </cell>
          <cell r="B28">
            <v>5.8718</v>
          </cell>
          <cell r="C28" t="str">
            <v>899700890926</v>
          </cell>
          <cell r="D28" t="str">
            <v>907029120425</v>
          </cell>
        </row>
        <row r="29">
          <cell r="A29" t="str">
            <v>双色kt豆铲</v>
          </cell>
          <cell r="B29">
            <v>5.9675</v>
          </cell>
        </row>
        <row r="30">
          <cell r="A30" t="str">
            <v>双色kt双针豆笔</v>
          </cell>
          <cell r="B30">
            <v>3.6795</v>
          </cell>
          <cell r="C30" t="str">
            <v>900088619943</v>
          </cell>
          <cell r="D30" t="str">
            <v>907014421740</v>
          </cell>
          <cell r="E30" t="str">
            <v>911794524968</v>
          </cell>
        </row>
        <row r="31">
          <cell r="A31" t="str">
            <v>麦当劳豆铲(小)</v>
          </cell>
          <cell r="B31">
            <v>6.6176</v>
          </cell>
          <cell r="C31" t="str">
            <v>900090466348</v>
          </cell>
          <cell r="D31" t="str">
            <v>907029014698</v>
          </cell>
        </row>
        <row r="32">
          <cell r="A32" t="str">
            <v>麦当劳豆铲(大)</v>
          </cell>
          <cell r="B32">
            <v>9.2576</v>
          </cell>
          <cell r="C32" t="str">
            <v>900090466348</v>
          </cell>
          <cell r="D32" t="str">
            <v>907029014698</v>
          </cell>
        </row>
        <row r="33">
          <cell r="A33" t="str">
            <v>复活节兔子蛋螺旋蛋</v>
          </cell>
          <cell r="B33">
            <v>5.48636</v>
          </cell>
          <cell r="C33" t="str">
            <v>900204339606</v>
          </cell>
          <cell r="D33" t="str">
            <v>907029072076</v>
          </cell>
        </row>
        <row r="34">
          <cell r="A34" t="str">
            <v>复活节兔子蛋烟花蛋</v>
          </cell>
          <cell r="B34">
            <v>9.8516</v>
          </cell>
          <cell r="C34" t="str">
            <v>900205322493</v>
          </cell>
          <cell r="D34" t="str">
            <v>907029808595</v>
          </cell>
        </row>
        <row r="35">
          <cell r="A35" t="str">
            <v>复活节兔子蛋竖纹蛋</v>
          </cell>
          <cell r="B35">
            <v>9.97304</v>
          </cell>
          <cell r="C35" t="str">
            <v>900208597423</v>
          </cell>
          <cell r="D35" t="str">
            <v>907029262443</v>
          </cell>
        </row>
        <row r="36">
          <cell r="A36" t="str">
            <v>复活节兔子蛋向日葵蛋</v>
          </cell>
          <cell r="B36">
            <v>10.769</v>
          </cell>
          <cell r="C36" t="str">
            <v>900219161043</v>
          </cell>
          <cell r="D36" t="str">
            <v>907029037326</v>
          </cell>
        </row>
        <row r="37">
          <cell r="A37" t="str">
            <v>复活节兔子蛋镂空蛋</v>
          </cell>
          <cell r="B37">
            <v>9.41336</v>
          </cell>
          <cell r="C37" t="str">
            <v>900250230214</v>
          </cell>
          <cell r="D37" t="str">
            <v>907029535664</v>
          </cell>
        </row>
        <row r="38">
          <cell r="A38" t="str">
            <v>深海迷航海龙利维坦</v>
          </cell>
          <cell r="B38">
            <v>12.254</v>
          </cell>
          <cell r="C38" t="str">
            <v>900258209115</v>
          </cell>
          <cell r="D38" t="str">
            <v>907028989687</v>
          </cell>
          <cell r="E38" t="str">
            <v>912289083720</v>
          </cell>
        </row>
        <row r="39">
          <cell r="A39" t="str">
            <v>深海迷航冰虫利维坦</v>
          </cell>
          <cell r="B39">
            <v>12.73976</v>
          </cell>
          <cell r="C39" t="str">
            <v>900258209115</v>
          </cell>
          <cell r="D39" t="str">
            <v>907028989687</v>
          </cell>
          <cell r="E39" t="str">
            <v>912289083720</v>
          </cell>
        </row>
        <row r="40">
          <cell r="A40" t="str">
            <v>深海迷航潜行者</v>
          </cell>
          <cell r="B40">
            <v>5.7332</v>
          </cell>
          <cell r="C40" t="str">
            <v>900258209115</v>
          </cell>
          <cell r="D40" t="str">
            <v>907028989687</v>
          </cell>
          <cell r="E40" t="str">
            <v>912289083720</v>
          </cell>
        </row>
        <row r="41">
          <cell r="A41" t="str">
            <v>深海迷航臭臭鱼</v>
          </cell>
          <cell r="B41">
            <v>7.2908</v>
          </cell>
          <cell r="C41" t="str">
            <v>900258209115</v>
          </cell>
          <cell r="D41" t="str">
            <v>907028989687</v>
          </cell>
          <cell r="E41" t="str">
            <v>912289083720</v>
          </cell>
        </row>
        <row r="42">
          <cell r="A42" t="str">
            <v>马头拖车头球盖</v>
          </cell>
          <cell r="B42">
            <v>7.1984</v>
          </cell>
          <cell r="C42" t="str">
            <v>900737858141</v>
          </cell>
          <cell r="D42" t="str">
            <v>907029048567</v>
          </cell>
        </row>
        <row r="43">
          <cell r="A43" t="str">
            <v>2胡须kt双针豆夹</v>
          </cell>
          <cell r="B43">
            <v>3.806</v>
          </cell>
          <cell r="C43" t="str">
            <v>900735713153</v>
          </cell>
          <cell r="D43" t="str">
            <v>907012488347</v>
          </cell>
        </row>
        <row r="44">
          <cell r="A44" t="str">
            <v>海龙34cm</v>
          </cell>
          <cell r="B44">
            <v>8.954</v>
          </cell>
          <cell r="C44" t="str">
            <v>900717816511</v>
          </cell>
          <cell r="D44" t="str">
            <v>907029297732</v>
          </cell>
        </row>
        <row r="45">
          <cell r="A45" t="str">
            <v>海龙49cm</v>
          </cell>
          <cell r="B45">
            <v>17.27</v>
          </cell>
          <cell r="C45" t="str">
            <v>900717816511</v>
          </cell>
          <cell r="D45" t="str">
            <v>907029297732</v>
          </cell>
        </row>
        <row r="46">
          <cell r="A46" t="str">
            <v>跳跳马</v>
          </cell>
          <cell r="B46">
            <v>8.558</v>
          </cell>
          <cell r="C46" t="str">
            <v>900821127783</v>
          </cell>
          <cell r="D46" t="str">
            <v>907029676982</v>
          </cell>
        </row>
        <row r="47">
          <cell r="A47" t="str">
            <v>可爱小马驹</v>
          </cell>
          <cell r="B47">
            <v>8.558</v>
          </cell>
          <cell r="C47" t="str">
            <v>900846517330</v>
          </cell>
          <cell r="D47" t="str">
            <v>907029261389</v>
          </cell>
        </row>
        <row r="48">
          <cell r="A48" t="str">
            <v>元宝小马系列招财坐款抱元宝</v>
          </cell>
          <cell r="B48">
            <v>6.64675</v>
          </cell>
          <cell r="C48" t="str">
            <v>900853405442</v>
          </cell>
          <cell r="D48" t="str">
            <v>907029546786</v>
          </cell>
        </row>
        <row r="49">
          <cell r="A49" t="str">
            <v>元宝小马系列招财踏福迎财</v>
          </cell>
          <cell r="B49">
            <v>5.430535</v>
          </cell>
          <cell r="C49" t="str">
            <v>900853405442</v>
          </cell>
          <cell r="D49" t="str">
            <v>907029546786</v>
          </cell>
        </row>
        <row r="50">
          <cell r="A50" t="str">
            <v>元宝小马系列童趣招财摇摇马</v>
          </cell>
          <cell r="B50">
            <v>6.02041</v>
          </cell>
          <cell r="C50" t="str">
            <v>900853405442</v>
          </cell>
          <cell r="D50" t="str">
            <v>907029546786</v>
          </cell>
        </row>
        <row r="51">
          <cell r="A51" t="str">
            <v>元宝小马系列稳步招财漫步驮宝</v>
          </cell>
          <cell r="B51">
            <v>7.213602</v>
          </cell>
          <cell r="C51" t="str">
            <v>900853405442</v>
          </cell>
          <cell r="D51" t="str">
            <v>907029546786</v>
          </cell>
        </row>
        <row r="52">
          <cell r="A52" t="str">
            <v>元宝小马系列祥瑞独角福运</v>
          </cell>
          <cell r="B52">
            <v>5.29254</v>
          </cell>
          <cell r="C52" t="str">
            <v>900853405442</v>
          </cell>
          <cell r="D52" t="str">
            <v>907029546786</v>
          </cell>
        </row>
        <row r="53">
          <cell r="A53" t="str">
            <v>元宝小马系列励志飞黄腾达</v>
          </cell>
          <cell r="B53">
            <v>6.23348</v>
          </cell>
          <cell r="C53" t="str">
            <v>900853405442</v>
          </cell>
          <cell r="D53" t="str">
            <v>907029546786</v>
          </cell>
        </row>
        <row r="54">
          <cell r="A54" t="str">
            <v>元宝小马系列可爱圆滚滚福气</v>
          </cell>
          <cell r="B54">
            <v>4.31728</v>
          </cell>
          <cell r="C54" t="str">
            <v>900853405442</v>
          </cell>
          <cell r="D54" t="str">
            <v>907029546786</v>
          </cell>
        </row>
        <row r="55">
          <cell r="A55" t="str">
            <v>元宝小马系列旺运驮币铜钱</v>
          </cell>
          <cell r="B55">
            <v>6.27781</v>
          </cell>
          <cell r="C55" t="str">
            <v>900853405442</v>
          </cell>
          <cell r="D55" t="str">
            <v>907029546786</v>
          </cell>
        </row>
        <row r="56">
          <cell r="A56" t="str">
            <v>三角洲蝴蝶刀影锋</v>
          </cell>
          <cell r="B56">
            <v>6.71</v>
          </cell>
          <cell r="C56" t="str">
            <v>900928405431</v>
          </cell>
          <cell r="D56" t="str">
            <v>907029487128</v>
          </cell>
        </row>
        <row r="57">
          <cell r="A57" t="str">
            <v>绳结卡</v>
          </cell>
          <cell r="B57">
            <v>7.04</v>
          </cell>
          <cell r="C57" t="str">
            <v>901389694421</v>
          </cell>
          <cell r="D57" t="str">
            <v>907029593446</v>
          </cell>
        </row>
        <row r="58">
          <cell r="A58" t="str">
            <v>我的世界小猫</v>
          </cell>
          <cell r="B58">
            <v>3.8225</v>
          </cell>
          <cell r="C58" t="str">
            <v>907528159842</v>
          </cell>
          <cell r="D58" t="str">
            <v>901436582204</v>
          </cell>
          <cell r="E58" t="str">
            <v>907008218334</v>
          </cell>
          <cell r="F58" t="str">
            <v>907008035506</v>
          </cell>
          <cell r="G58" t="str">
            <v>911760634644</v>
          </cell>
        </row>
        <row r="59">
          <cell r="A59" t="str">
            <v>对联冰箱贴平安喜乐</v>
          </cell>
          <cell r="B59">
            <v>7.78646</v>
          </cell>
          <cell r="C59" t="str">
            <v>901462500400</v>
          </cell>
          <cell r="D59" t="str">
            <v>907029760671</v>
          </cell>
        </row>
        <row r="60">
          <cell r="A60" t="str">
            <v>对联冰箱贴财富加马</v>
          </cell>
          <cell r="B60">
            <v>5.57139</v>
          </cell>
          <cell r="C60" t="str">
            <v>901462500400</v>
          </cell>
          <cell r="D60" t="str">
            <v>907029760671</v>
          </cell>
        </row>
        <row r="61">
          <cell r="A61" t="str">
            <v>对联冰箱贴马年大🍊</v>
          </cell>
          <cell r="B61">
            <v>7.84652</v>
          </cell>
          <cell r="C61" t="str">
            <v>901462500400</v>
          </cell>
          <cell r="D61" t="str">
            <v>907029760671</v>
          </cell>
        </row>
        <row r="62">
          <cell r="A62" t="str">
            <v>冰箱贴2026马</v>
          </cell>
          <cell r="B62">
            <v>3.608</v>
          </cell>
          <cell r="C62" t="str">
            <v>901462500400</v>
          </cell>
          <cell r="D62" t="str">
            <v>907029760671</v>
          </cell>
        </row>
        <row r="63">
          <cell r="A63" t="str">
            <v>冰箱贴马上有钱</v>
          </cell>
          <cell r="B63">
            <v>4.1085</v>
          </cell>
          <cell r="C63" t="str">
            <v>901462500400</v>
          </cell>
          <cell r="D63" t="str">
            <v>907029760671</v>
          </cell>
        </row>
        <row r="64">
          <cell r="A64" t="str">
            <v>冰箱贴马到成功</v>
          </cell>
          <cell r="B64">
            <v>4.35017</v>
          </cell>
          <cell r="C64" t="str">
            <v>901462500400</v>
          </cell>
          <cell r="D64" t="str">
            <v>907029760671</v>
          </cell>
        </row>
        <row r="65">
          <cell r="A65" t="str">
            <v>冰箱贴立马转运</v>
          </cell>
          <cell r="B65">
            <v>4.34302</v>
          </cell>
          <cell r="C65" t="str">
            <v>901462500400</v>
          </cell>
          <cell r="D65" t="str">
            <v>907029760671</v>
          </cell>
        </row>
        <row r="66">
          <cell r="A66" t="str">
            <v>冰箱贴大马</v>
          </cell>
          <cell r="B66">
            <v>7.04</v>
          </cell>
          <cell r="C66" t="str">
            <v>901462500400</v>
          </cell>
          <cell r="D66" t="str">
            <v>907029760671</v>
          </cell>
        </row>
        <row r="67">
          <cell r="A67" t="str">
            <v>冰箱贴福</v>
          </cell>
          <cell r="B67">
            <v>7.04</v>
          </cell>
          <cell r="C67" t="str">
            <v>901462500400</v>
          </cell>
          <cell r="D67" t="str">
            <v>907029760671</v>
          </cell>
        </row>
        <row r="68">
          <cell r="A68" t="str">
            <v>三角洲刀片服务器</v>
          </cell>
          <cell r="B68">
            <v>10.89</v>
          </cell>
          <cell r="C68" t="str">
            <v>901811590441</v>
          </cell>
          <cell r="D68" t="str">
            <v>907011147751</v>
          </cell>
          <cell r="E68" t="str">
            <v>909364304892</v>
          </cell>
        </row>
        <row r="69">
          <cell r="A69" t="str">
            <v>四色金箍棒</v>
          </cell>
          <cell r="B69">
            <v>21.95996</v>
          </cell>
          <cell r="C69" t="str">
            <v>902306151863</v>
          </cell>
          <cell r="D69" t="str">
            <v>907029735406</v>
          </cell>
        </row>
        <row r="70">
          <cell r="A70" t="str">
            <v>无畏契约爪子刀</v>
          </cell>
          <cell r="B70">
            <v>6.05</v>
          </cell>
          <cell r="C70" t="str">
            <v>902320990789</v>
          </cell>
        </row>
        <row r="71">
          <cell r="A71" t="str">
            <v>机甲浪人哨兵雕像</v>
          </cell>
          <cell r="B71">
            <v>6.05</v>
          </cell>
          <cell r="C71" t="str">
            <v>903037756964</v>
          </cell>
          <cell r="D71" t="str">
            <v>907029379496</v>
          </cell>
        </row>
        <row r="72">
          <cell r="A72" t="str">
            <v>超梦骨骼宝可梦</v>
          </cell>
          <cell r="B72">
            <v>6.314</v>
          </cell>
          <cell r="C72" t="str">
            <v>903033856423</v>
          </cell>
          <cell r="D72" t="str">
            <v>907029498022</v>
          </cell>
        </row>
        <row r="73">
          <cell r="A73" t="str">
            <v>我的世界龙蛋</v>
          </cell>
          <cell r="B73">
            <v>6.754</v>
          </cell>
          <cell r="C73" t="str">
            <v>903096456435</v>
          </cell>
          <cell r="D73" t="str">
            <v>907029069522</v>
          </cell>
        </row>
        <row r="74">
          <cell r="A74" t="str">
            <v>暴鲤龙骨骼宝可梦</v>
          </cell>
          <cell r="B74">
            <v>6.7298</v>
          </cell>
          <cell r="C74" t="str">
            <v>903089728507</v>
          </cell>
          <cell r="D74" t="str">
            <v>907028977445</v>
          </cell>
        </row>
        <row r="75">
          <cell r="A75" t="str">
            <v>菠萝章鱼手雷</v>
          </cell>
          <cell r="B75">
            <v>8.756</v>
          </cell>
          <cell r="C75" t="str">
            <v>903150661406</v>
          </cell>
          <cell r="D75" t="str">
            <v>907028929087</v>
          </cell>
        </row>
        <row r="76">
          <cell r="A76" t="str">
            <v>三角洲金图纸普通版</v>
          </cell>
          <cell r="B76">
            <v>4.9665</v>
          </cell>
          <cell r="C76" t="str">
            <v>903366679461</v>
          </cell>
          <cell r="D76" t="str">
            <v>903366002339</v>
          </cell>
          <cell r="E76" t="str">
            <v>907029509109</v>
          </cell>
          <cell r="F76" t="str">
            <v>907028988363</v>
          </cell>
          <cell r="G76" t="str">
            <v>909394914009</v>
          </cell>
        </row>
        <row r="77">
          <cell r="A77" t="str">
            <v>三角洲金图纸完美复刻版</v>
          </cell>
          <cell r="B77">
            <v>6.5395</v>
          </cell>
          <cell r="C77" t="str">
            <v>903366679461</v>
          </cell>
          <cell r="D77" t="str">
            <v>903366002339</v>
          </cell>
          <cell r="E77" t="str">
            <v>907029509109</v>
          </cell>
          <cell r="F77" t="str">
            <v>907028988363</v>
          </cell>
          <cell r="G77" t="str">
            <v>909394914009</v>
          </cell>
        </row>
        <row r="78">
          <cell r="A78" t="str">
            <v>阿凡达斑溪兽飞行翼龙大</v>
          </cell>
          <cell r="B78">
            <v>17.325</v>
          </cell>
          <cell r="C78" t="str">
            <v>903741820033</v>
          </cell>
          <cell r="D78" t="str">
            <v>907029248106</v>
          </cell>
        </row>
        <row r="79">
          <cell r="A79" t="str">
            <v>阿凡达斑溪兽飞行翼龙大底座</v>
          </cell>
          <cell r="B79">
            <v>6.05</v>
          </cell>
          <cell r="C79" t="str">
            <v>903741820033</v>
          </cell>
          <cell r="D79" t="str">
            <v>907029248106</v>
          </cell>
        </row>
        <row r="80">
          <cell r="A80" t="str">
            <v>月亮来了不带环绒毛表面</v>
          </cell>
          <cell r="B80">
            <v>9.35</v>
          </cell>
          <cell r="C80" t="str">
            <v>903454747958</v>
          </cell>
          <cell r="D80" t="str">
            <v>906605455128</v>
          </cell>
          <cell r="E80" t="str">
            <v>910876641470</v>
          </cell>
        </row>
        <row r="81">
          <cell r="A81" t="str">
            <v>月亮来了不带环光滑表面</v>
          </cell>
          <cell r="B81">
            <v>12.65</v>
          </cell>
          <cell r="C81" t="str">
            <v>903454747958</v>
          </cell>
          <cell r="D81" t="str">
            <v>906605455128</v>
          </cell>
          <cell r="E81" t="str">
            <v>910876641470</v>
          </cell>
        </row>
        <row r="82">
          <cell r="A82" t="str">
            <v>月亮来了带环光滑表面</v>
          </cell>
          <cell r="B82">
            <v>17.93</v>
          </cell>
          <cell r="C82" t="str">
            <v>903454747958</v>
          </cell>
          <cell r="D82" t="str">
            <v>906605455128</v>
          </cell>
          <cell r="E82" t="str">
            <v>910876641470</v>
          </cell>
        </row>
        <row r="83">
          <cell r="A83" t="str">
            <v>王权富贵发冠</v>
          </cell>
          <cell r="B83">
            <v>6.182</v>
          </cell>
          <cell r="C83" t="str">
            <v>904094932367</v>
          </cell>
          <cell r="D83" t="str">
            <v>907029472680</v>
          </cell>
        </row>
        <row r="84">
          <cell r="A84" t="str">
            <v>阿凡达斑溪兽飞行翼龙多色</v>
          </cell>
          <cell r="B84">
            <v>20.6679</v>
          </cell>
        </row>
        <row r="85">
          <cell r="A85" t="str">
            <v>阿凡达斑溪兽飞行翼龙蓝色</v>
          </cell>
          <cell r="B85">
            <v>10.67825</v>
          </cell>
        </row>
        <row r="86">
          <cell r="A86" t="str">
            <v>阿凡达斑溪兽飞行翼龙四色</v>
          </cell>
          <cell r="B86">
            <v>12.09076</v>
          </cell>
        </row>
        <row r="87">
          <cell r="A87" t="str">
            <v>阿凡达斑溪兽飞行翼龙双色</v>
          </cell>
          <cell r="B87">
            <v>18.58582</v>
          </cell>
        </row>
        <row r="88">
          <cell r="A88" t="str">
            <v>以德服人 以德斧人 斧子</v>
          </cell>
          <cell r="B88">
            <v>9.086</v>
          </cell>
          <cell r="C88" t="str">
            <v>904361506882</v>
          </cell>
          <cell r="D88" t="str">
            <v>907028714348</v>
          </cell>
          <cell r="E88" t="str">
            <v>910867614472</v>
          </cell>
        </row>
        <row r="89">
          <cell r="A89" t="str">
            <v>三角洲量子储存</v>
          </cell>
          <cell r="B89">
            <v>4.1558</v>
          </cell>
          <cell r="C89" t="str">
            <v>907029496599</v>
          </cell>
          <cell r="D89" t="str">
            <v>907028904397</v>
          </cell>
        </row>
        <row r="90">
          <cell r="A90" t="str">
            <v>三角洲海盗金币</v>
          </cell>
          <cell r="B90">
            <v>4.202</v>
          </cell>
        </row>
        <row r="91">
          <cell r="A91" t="str">
            <v>三角洲信条粉色20cm</v>
          </cell>
          <cell r="B91">
            <v>7.634</v>
          </cell>
        </row>
        <row r="92">
          <cell r="A92" t="str">
            <v>三角洲信条粉色23.3cm</v>
          </cell>
          <cell r="B92">
            <v>10.8416</v>
          </cell>
        </row>
        <row r="93">
          <cell r="A93" t="str">
            <v>三角洲信条粉色30cm</v>
          </cell>
          <cell r="B93">
            <v>20.4776</v>
          </cell>
          <cell r="C93" t="str">
            <v>904608571345</v>
          </cell>
          <cell r="D93" t="str">
            <v>907029330249</v>
          </cell>
          <cell r="E93" t="str">
            <v>909428128352</v>
          </cell>
        </row>
        <row r="94">
          <cell r="A94" t="str">
            <v>刻律德菈棋子国王蓝</v>
          </cell>
          <cell r="B94">
            <v>9.218</v>
          </cell>
          <cell r="C94" t="str">
            <v>905050011734</v>
          </cell>
          <cell r="D94" t="str">
            <v>907029378116</v>
          </cell>
        </row>
        <row r="95">
          <cell r="A95" t="str">
            <v>刻律德菈棋子王后金</v>
          </cell>
          <cell r="B95">
            <v>7.238</v>
          </cell>
          <cell r="C95" t="str">
            <v>905050011734</v>
          </cell>
          <cell r="D95" t="str">
            <v>907029378116</v>
          </cell>
        </row>
        <row r="96">
          <cell r="A96" t="str">
            <v>超级马里奥骨架</v>
          </cell>
          <cell r="B96">
            <v>7.11656</v>
          </cell>
          <cell r="C96" t="str">
            <v>905032516836</v>
          </cell>
          <cell r="D96" t="str">
            <v>907028986856</v>
          </cell>
        </row>
        <row r="97">
          <cell r="A97" t="str">
            <v>换挡解压玩具 V2 - 齿轮换挡</v>
          </cell>
          <cell r="B97">
            <v>9.54811</v>
          </cell>
          <cell r="C97" t="str">
            <v>905349427645</v>
          </cell>
          <cell r="D97" t="str">
            <v>907029544438</v>
          </cell>
        </row>
        <row r="98">
          <cell r="A98" t="str">
            <v>一个亿 小目标</v>
          </cell>
          <cell r="B98">
            <v>12.76</v>
          </cell>
          <cell r="C98" t="str">
            <v>906425066615</v>
          </cell>
          <cell r="D98" t="str">
            <v>907029354699</v>
          </cell>
        </row>
        <row r="99">
          <cell r="A99" t="str">
            <v>海洋动物水龙</v>
          </cell>
          <cell r="B99">
            <v>10.615</v>
          </cell>
          <cell r="C99" t="str">
            <v>907083260921</v>
          </cell>
        </row>
        <row r="100">
          <cell r="A100" t="str">
            <v>海洋动物蛇颈龙</v>
          </cell>
          <cell r="B100">
            <v>12.386</v>
          </cell>
          <cell r="C100" t="str">
            <v>907083260921</v>
          </cell>
        </row>
        <row r="101">
          <cell r="A101" t="str">
            <v>海洋动物大鲸鱼</v>
          </cell>
          <cell r="B101">
            <v>10.615</v>
          </cell>
          <cell r="C101" t="str">
            <v>907083260921</v>
          </cell>
        </row>
        <row r="102">
          <cell r="A102" t="str">
            <v>海洋动物大嘴鲨鱼</v>
          </cell>
          <cell r="B102">
            <v>8.91044</v>
          </cell>
          <cell r="C102" t="str">
            <v>907083260921</v>
          </cell>
          <cell r="D102" t="str">
            <v>907092422252</v>
          </cell>
        </row>
        <row r="103">
          <cell r="A103" t="str">
            <v>海洋动物红嘴大嘴鲨鱼</v>
          </cell>
          <cell r="B103">
            <v>8.91044</v>
          </cell>
          <cell r="C103" t="str">
            <v>907083260921</v>
          </cell>
          <cell r="D103" t="str">
            <v>907092422252</v>
          </cell>
        </row>
        <row r="104">
          <cell r="A104" t="str">
            <v>黏土小人绿色</v>
          </cell>
          <cell r="B104">
            <v>4.4396</v>
          </cell>
          <cell r="C104" t="str">
            <v>908654566735</v>
          </cell>
          <cell r="D104" t="str">
            <v>910995472702</v>
          </cell>
        </row>
        <row r="105">
          <cell r="A105" t="str">
            <v>黏土小人橙色</v>
          </cell>
          <cell r="B105">
            <v>4.4396</v>
          </cell>
          <cell r="C105" t="str">
            <v>908654566735</v>
          </cell>
          <cell r="D105" t="str">
            <v>910995472702</v>
          </cell>
        </row>
        <row r="106">
          <cell r="A106" t="str">
            <v>黏土小人浅蓝色</v>
          </cell>
          <cell r="B106">
            <v>4.2284</v>
          </cell>
          <cell r="C106" t="str">
            <v>908654566735</v>
          </cell>
          <cell r="D106" t="str">
            <v>910995472702</v>
          </cell>
        </row>
        <row r="107">
          <cell r="A107" t="str">
            <v>黏土小人粉色</v>
          </cell>
          <cell r="B107">
            <v>4.598</v>
          </cell>
          <cell r="C107" t="str">
            <v>908654566735</v>
          </cell>
          <cell r="D107" t="str">
            <v>910995472702</v>
          </cell>
        </row>
        <row r="108">
          <cell r="A108" t="str">
            <v>黏土小人深蓝色</v>
          </cell>
          <cell r="B108">
            <v>4.994</v>
          </cell>
          <cell r="C108" t="str">
            <v>908654566735</v>
          </cell>
          <cell r="D108" t="str">
            <v>910995472702</v>
          </cell>
        </row>
        <row r="109">
          <cell r="A109" t="str">
            <v>黏土小人灰色</v>
          </cell>
          <cell r="B109">
            <v>4.07</v>
          </cell>
          <cell r="C109" t="str">
            <v>908654566735</v>
          </cell>
          <cell r="D109" t="str">
            <v>910995472702</v>
          </cell>
        </row>
        <row r="110">
          <cell r="A110" t="str">
            <v>黏土小人六件套</v>
          </cell>
          <cell r="B110">
            <v>13.0196</v>
          </cell>
          <cell r="C110" t="str">
            <v>908654566735</v>
          </cell>
          <cell r="D110" t="str">
            <v>910995472702</v>
          </cell>
        </row>
        <row r="111">
          <cell r="A111" t="str">
            <v>多色小美人鱼</v>
          </cell>
          <cell r="B111">
            <v>4.51605</v>
          </cell>
          <cell r="C111" t="str">
            <v>908814536252</v>
          </cell>
        </row>
        <row r="112">
          <cell r="A112" t="str">
            <v>三头飞龙25cm</v>
          </cell>
          <cell r="B112">
            <v>10.4918</v>
          </cell>
        </row>
        <row r="113">
          <cell r="A113" t="str">
            <v>气球狗</v>
          </cell>
          <cell r="B113">
            <v>4.532</v>
          </cell>
          <cell r="C113" t="str">
            <v>908848832088</v>
          </cell>
        </row>
        <row r="114">
          <cell r="A114" t="str">
            <v>苹果拼豆笔</v>
          </cell>
          <cell r="B114">
            <v>3.806</v>
          </cell>
          <cell r="C114" t="str">
            <v>909527595807</v>
          </cell>
          <cell r="D114" t="str">
            <v>910995269673</v>
          </cell>
          <cell r="E114" t="str">
            <v>909566108573</v>
          </cell>
        </row>
        <row r="115">
          <cell r="A115" t="str">
            <v>桃子拼豆笔</v>
          </cell>
          <cell r="B115">
            <v>3.806</v>
          </cell>
          <cell r="C115" t="str">
            <v>909527595807</v>
          </cell>
          <cell r="D115" t="str">
            <v>910995269673</v>
          </cell>
          <cell r="E115" t="str">
            <v>909566108573</v>
          </cell>
        </row>
        <row r="116">
          <cell r="A116" t="str">
            <v>菠萝拼豆笔</v>
          </cell>
          <cell r="B116">
            <v>4.07</v>
          </cell>
          <cell r="C116" t="str">
            <v>909527595807</v>
          </cell>
          <cell r="D116" t="str">
            <v>910995269673</v>
          </cell>
          <cell r="E116" t="str">
            <v>909566108573</v>
          </cell>
        </row>
        <row r="117">
          <cell r="A117" t="str">
            <v>葡萄拼豆笔</v>
          </cell>
          <cell r="B117">
            <v>3.9116</v>
          </cell>
          <cell r="C117" t="str">
            <v>909527595807</v>
          </cell>
          <cell r="D117" t="str">
            <v>910995269673</v>
          </cell>
          <cell r="E117" t="str">
            <v>909566108573</v>
          </cell>
        </row>
        <row r="118">
          <cell r="A118" t="str">
            <v>西瓜拼豆笔</v>
          </cell>
          <cell r="B118">
            <v>3.9116</v>
          </cell>
          <cell r="C118" t="str">
            <v>909527595807</v>
          </cell>
          <cell r="D118" t="str">
            <v>910995269673</v>
          </cell>
          <cell r="E118" t="str">
            <v>909566108573</v>
          </cell>
        </row>
        <row r="119">
          <cell r="A119" t="str">
            <v>梨子拼豆笔</v>
          </cell>
          <cell r="B119">
            <v>3.7268</v>
          </cell>
          <cell r="C119" t="str">
            <v>909527595807</v>
          </cell>
          <cell r="D119" t="str">
            <v>910995269673</v>
          </cell>
          <cell r="E119" t="str">
            <v>909566108573</v>
          </cell>
        </row>
        <row r="120">
          <cell r="A120" t="str">
            <v>水果系列全套拼豆笔</v>
          </cell>
          <cell r="B120">
            <v>9.482</v>
          </cell>
          <cell r="C120" t="str">
            <v>909527595807</v>
          </cell>
          <cell r="D120" t="str">
            <v>910995269673</v>
          </cell>
          <cell r="E120" t="str">
            <v>909566108573</v>
          </cell>
        </row>
        <row r="121">
          <cell r="A121" t="str">
            <v>幻彩流光马头摆件</v>
          </cell>
          <cell r="B121">
            <v>4.862</v>
          </cell>
          <cell r="C121" t="str">
            <v>910892877885</v>
          </cell>
          <cell r="D121" t="str">
            <v>910994654668</v>
          </cell>
        </row>
        <row r="122">
          <cell r="A122" t="str">
            <v>手机握把</v>
          </cell>
          <cell r="B122">
            <v>4.6772</v>
          </cell>
          <cell r="C122" t="str">
            <v>909580849368</v>
          </cell>
          <cell r="D122" t="str">
            <v>910995292702</v>
          </cell>
          <cell r="E122" t="str">
            <v>911034162673</v>
          </cell>
        </row>
        <row r="123">
          <cell r="A123" t="str">
            <v>鹰哨</v>
          </cell>
          <cell r="B123">
            <v>4.334</v>
          </cell>
          <cell r="C123" t="str">
            <v>910999856422</v>
          </cell>
          <cell r="D123" t="str">
            <v>911740728942</v>
          </cell>
        </row>
        <row r="124">
          <cell r="A124" t="str">
            <v>糖果笔筒</v>
          </cell>
          <cell r="B124">
            <v>6.05</v>
          </cell>
          <cell r="C124" t="str">
            <v>910993471752</v>
          </cell>
          <cell r="D124" t="str">
            <v>911006216743</v>
          </cell>
        </row>
        <row r="125">
          <cell r="A125" t="str">
            <v>汽车拖钩杜宾狗</v>
          </cell>
          <cell r="B125">
            <v>13.7786</v>
          </cell>
        </row>
        <row r="126">
          <cell r="A126" t="str">
            <v>汽车拖钩防毒面具长</v>
          </cell>
          <cell r="B126">
            <v>8.9012</v>
          </cell>
        </row>
        <row r="127">
          <cell r="A127" t="str">
            <v>汽车拖钩防毒面具短</v>
          </cell>
          <cell r="B127">
            <v>8.6372</v>
          </cell>
        </row>
        <row r="128">
          <cell r="A128" t="str">
            <v>汽车拖钩鸡</v>
          </cell>
          <cell r="B128">
            <v>10.90892</v>
          </cell>
        </row>
        <row r="129">
          <cell r="A129" t="str">
            <v>汽车拖钩角斗士</v>
          </cell>
          <cell r="B129">
            <v>9.16124</v>
          </cell>
        </row>
        <row r="130">
          <cell r="A130" t="str">
            <v>汽车拖钩狼</v>
          </cell>
          <cell r="B130">
            <v>11.92664</v>
          </cell>
        </row>
        <row r="131">
          <cell r="A131" t="str">
            <v>汽车拖钩拉布拉多</v>
          </cell>
          <cell r="B131">
            <v>13.6928</v>
          </cell>
        </row>
        <row r="132">
          <cell r="A132" t="str">
            <v>汽车拖钩猫头鹰</v>
          </cell>
          <cell r="B132">
            <v>10.73072</v>
          </cell>
        </row>
        <row r="133">
          <cell r="A133" t="str">
            <v>汽车拖钩南瓜头</v>
          </cell>
          <cell r="B133">
            <v>11.30855</v>
          </cell>
        </row>
        <row r="134">
          <cell r="A134" t="str">
            <v>汽车拖钩圣诞帽</v>
          </cell>
          <cell r="B134">
            <v>9.328</v>
          </cell>
        </row>
        <row r="135">
          <cell r="A135" t="str">
            <v>汽车拖钩手雷</v>
          </cell>
          <cell r="B135">
            <v>12.57608</v>
          </cell>
        </row>
        <row r="136">
          <cell r="A136" t="str">
            <v>汽车拖钩雪人</v>
          </cell>
          <cell r="B136">
            <v>12.7886</v>
          </cell>
        </row>
        <row r="137">
          <cell r="A137" t="str">
            <v>汽车拖钩中指</v>
          </cell>
          <cell r="B137">
            <v>19.448</v>
          </cell>
        </row>
        <row r="138">
          <cell r="A138" t="str">
            <v>我的世界草地大</v>
          </cell>
          <cell r="B138">
            <v>35.71436</v>
          </cell>
        </row>
        <row r="139">
          <cell r="A139" t="str">
            <v>我的世界草地中</v>
          </cell>
          <cell r="B139">
            <v>11.07524</v>
          </cell>
        </row>
        <row r="140">
          <cell r="A140" t="str">
            <v>我的世界草地小</v>
          </cell>
          <cell r="B140">
            <v>5.39</v>
          </cell>
        </row>
        <row r="141">
          <cell r="A141" t="str">
            <v>骷髅头笔筒</v>
          </cell>
          <cell r="B141">
            <v>7.52312</v>
          </cell>
        </row>
        <row r="142">
          <cell r="A142" t="str">
            <v>我的世界恶魂大</v>
          </cell>
          <cell r="B142">
            <v>6.611</v>
          </cell>
          <cell r="C142" t="str">
            <v>913151683317</v>
          </cell>
        </row>
        <row r="143">
          <cell r="A143" t="str">
            <v>我的世界恶魂小</v>
          </cell>
          <cell r="B143">
            <v>3.751</v>
          </cell>
          <cell r="C143" t="str">
            <v>913151683317</v>
          </cell>
        </row>
        <row r="144">
          <cell r="A144" t="str">
            <v>狮王笔筒</v>
          </cell>
          <cell r="B144">
            <v>8.78108</v>
          </cell>
        </row>
        <row r="145">
          <cell r="A145" t="str">
            <v>扭扭解压龙蛋</v>
          </cell>
          <cell r="B145">
            <v>13.97</v>
          </cell>
          <cell r="C145" t="str">
            <v>913740661903</v>
          </cell>
          <cell r="D145" t="str">
            <v>913829645903</v>
          </cell>
        </row>
        <row r="146">
          <cell r="A146" t="str">
            <v>扭扭高尔夫球</v>
          </cell>
          <cell r="B146">
            <v>11.0396</v>
          </cell>
          <cell r="C146" t="str">
            <v>913759792642</v>
          </cell>
          <cell r="D146" t="str">
            <v>913771438728</v>
          </cell>
        </row>
        <row r="147">
          <cell r="A147" t="str">
            <v>现代不规则花盆</v>
          </cell>
          <cell r="B147">
            <v>7.37</v>
          </cell>
        </row>
        <row r="148">
          <cell r="A148" t="str">
            <v>兔子蛋</v>
          </cell>
          <cell r="B148">
            <v>5.2976</v>
          </cell>
          <cell r="C148" t="str">
            <v>913797299017</v>
          </cell>
          <cell r="D148" t="str">
            <v>913812015529</v>
          </cell>
        </row>
        <row r="149">
          <cell r="A149" t="str">
            <v>霉豆腐</v>
          </cell>
          <cell r="B149">
            <v>12.386</v>
          </cell>
          <cell r="C149" t="str">
            <v>913824250774</v>
          </cell>
          <cell r="D149" t="str">
            <v>914439364609</v>
          </cell>
        </row>
        <row r="150">
          <cell r="A150" t="str">
            <v>新月亮5cm</v>
          </cell>
          <cell r="B150">
            <v>4.51616</v>
          </cell>
          <cell r="C150" t="str">
            <v>914401826082</v>
          </cell>
          <cell r="D150" t="str">
            <v>914382574896</v>
          </cell>
          <cell r="E150" t="str">
            <v>914456949763</v>
          </cell>
        </row>
        <row r="151">
          <cell r="A151" t="str">
            <v>新月亮8cm</v>
          </cell>
          <cell r="B151">
            <v>8.10392</v>
          </cell>
          <cell r="C151" t="str">
            <v>914401826082</v>
          </cell>
          <cell r="D151" t="str">
            <v>914382574896</v>
          </cell>
          <cell r="E151" t="str">
            <v>914456949763</v>
          </cell>
        </row>
        <row r="152">
          <cell r="A152" t="str">
            <v>死亡蛋复活节兔子蛋</v>
          </cell>
          <cell r="B152">
            <v>5.654</v>
          </cell>
        </row>
        <row r="153">
          <cell r="A153" t="str">
            <v>超大发卡</v>
          </cell>
          <cell r="B153">
            <v>5.8388</v>
          </cell>
          <cell r="C153" t="str">
            <v>915846452195</v>
          </cell>
          <cell r="D153" t="str">
            <v>915773511467</v>
          </cell>
        </row>
        <row r="154">
          <cell r="A154" t="str">
            <v>机械鲨鱼10cm</v>
          </cell>
          <cell r="B154">
            <v>4.48602</v>
          </cell>
        </row>
        <row r="155">
          <cell r="A155" t="str">
            <v>机械鲨鱼8cm</v>
          </cell>
          <cell r="B155">
            <v>3.751</v>
          </cell>
        </row>
        <row r="156">
          <cell r="A156" t="str">
            <v>哥特式笔筒</v>
          </cell>
          <cell r="B156">
            <v>9.65492</v>
          </cell>
        </row>
        <row r="157">
          <cell r="A157" t="str">
            <v>现代抽象耶手势</v>
          </cell>
          <cell r="B157">
            <v>5.54972</v>
          </cell>
        </row>
        <row r="158">
          <cell r="A158" t="str">
            <v>机甲毛毛虫6cm</v>
          </cell>
          <cell r="B158">
            <v>3.69237</v>
          </cell>
        </row>
        <row r="159">
          <cell r="A159" t="str">
            <v>机甲毛毛虫8cm</v>
          </cell>
          <cell r="B159">
            <v>4.70481</v>
          </cell>
        </row>
        <row r="160">
          <cell r="A160" t="str">
            <v>机甲毛毛虫10cm</v>
          </cell>
          <cell r="B160">
            <v>6.34359</v>
          </cell>
        </row>
        <row r="161">
          <cell r="A161" t="str">
            <v>指环王圣盔谷</v>
          </cell>
          <cell r="B161">
            <v>8.162</v>
          </cell>
          <cell r="C161" t="str">
            <v>916418796387</v>
          </cell>
          <cell r="D161" t="str">
            <v>916411704569</v>
          </cell>
        </row>
        <row r="162">
          <cell r="A162" t="str">
            <v>健身兄弟猫</v>
          </cell>
          <cell r="B162">
            <v>5.43125</v>
          </cell>
          <cell r="C162" t="str">
            <v>916410134467</v>
          </cell>
        </row>
        <row r="163">
          <cell r="A163" t="str">
            <v>圣帕特里克小黄鸭</v>
          </cell>
          <cell r="B163">
            <v>5.65576</v>
          </cell>
          <cell r="C163" t="str">
            <v>916993179488</v>
          </cell>
        </row>
        <row r="164">
          <cell r="A164" t="str">
            <v>独角兽鸭子5cm</v>
          </cell>
          <cell r="B164">
            <v>5.24678</v>
          </cell>
          <cell r="C164" t="str">
            <v>916420055919</v>
          </cell>
        </row>
        <row r="165">
          <cell r="A165" t="str">
            <v>可爱小蜜蜂</v>
          </cell>
          <cell r="B165">
            <v>3.1075</v>
          </cell>
          <cell r="C165" t="str">
            <v>916879203296</v>
          </cell>
          <cell r="D165" t="str">
            <v>916890987436</v>
          </cell>
          <cell r="E165" t="str">
            <v>917007533492</v>
          </cell>
        </row>
        <row r="166">
          <cell r="A166" t="str">
            <v>蜜蜂盒子</v>
          </cell>
          <cell r="B166">
            <v>12.122</v>
          </cell>
          <cell r="C166" t="str">
            <v>916879203296</v>
          </cell>
          <cell r="D166" t="str">
            <v>916890987436</v>
          </cell>
          <cell r="E166" t="str">
            <v>917007533492</v>
          </cell>
        </row>
        <row r="167">
          <cell r="A167" t="str">
            <v>小浣熊</v>
          </cell>
          <cell r="B167">
            <v>4.98795</v>
          </cell>
          <cell r="C167" t="str">
            <v>917023665416</v>
          </cell>
          <cell r="D167" t="str">
            <v>917033101019</v>
          </cell>
        </row>
        <row r="168">
          <cell r="A168" t="str">
            <v>魔鬼鱼</v>
          </cell>
          <cell r="B168">
            <v>7.3546</v>
          </cell>
          <cell r="C168" t="str">
            <v>917683774787</v>
          </cell>
          <cell r="D168" t="str">
            <v>917711998593</v>
          </cell>
        </row>
        <row r="169">
          <cell r="A169" t="str">
            <v>大猩猩</v>
          </cell>
          <cell r="B169">
            <v>5.9675</v>
          </cell>
          <cell r="C169" t="str">
            <v>917681985630</v>
          </cell>
        </row>
        <row r="170">
          <cell r="A170" t="str">
            <v>海绵宝宝雕像</v>
          </cell>
          <cell r="B170">
            <v>9.21008</v>
          </cell>
          <cell r="C170" t="str">
            <v>917651332468</v>
          </cell>
        </row>
        <row r="171">
          <cell r="A171" t="str">
            <v>派大星雕像</v>
          </cell>
          <cell r="B171">
            <v>9.812</v>
          </cell>
          <cell r="C171" t="str">
            <v>917651332468</v>
          </cell>
        </row>
        <row r="172">
          <cell r="A172" t="str">
            <v>章鱼哥雕像</v>
          </cell>
          <cell r="B172">
            <v>8.83784</v>
          </cell>
          <cell r="C172" t="str">
            <v>917651332468</v>
          </cell>
        </row>
        <row r="173">
          <cell r="A173" t="str">
            <v>蟹老板雕像</v>
          </cell>
          <cell r="B173">
            <v>9.62852</v>
          </cell>
          <cell r="C173" t="str">
            <v>917651332468</v>
          </cell>
        </row>
        <row r="174">
          <cell r="A174" t="str">
            <v>痞老板雕像</v>
          </cell>
          <cell r="B174">
            <v>9.37112</v>
          </cell>
          <cell r="C174" t="str">
            <v>917651332468</v>
          </cell>
        </row>
        <row r="175">
          <cell r="A175" t="str">
            <v>球类解压萝卜</v>
          </cell>
          <cell r="B175">
            <v>9.35</v>
          </cell>
          <cell r="C175" t="str">
            <v>917700328777</v>
          </cell>
          <cell r="D175" t="str">
            <v>917659869694</v>
          </cell>
        </row>
        <row r="176">
          <cell r="A176" t="str">
            <v>RTX5090</v>
          </cell>
          <cell r="B176">
            <v>5.82428</v>
          </cell>
          <cell r="C176" t="str">
            <v>917695402638</v>
          </cell>
          <cell r="D176" t="str">
            <v>917728643993</v>
          </cell>
        </row>
        <row r="177">
          <cell r="A177" t="str">
            <v>RTX4090</v>
          </cell>
          <cell r="B177">
            <v>6.897</v>
          </cell>
          <cell r="C177" t="str">
            <v>917695402638</v>
          </cell>
          <cell r="D177" t="str">
            <v>917728643993</v>
          </cell>
        </row>
        <row r="178">
          <cell r="A178" t="str">
            <v>粉红长腿水母</v>
          </cell>
          <cell r="B178">
            <v>7.04</v>
          </cell>
        </row>
        <row r="179">
          <cell r="A179" t="str">
            <v>玫瑰乌龟</v>
          </cell>
          <cell r="B179">
            <v>4.895</v>
          </cell>
          <cell r="C179" t="str">
            <v>918971092761</v>
          </cell>
        </row>
        <row r="180">
          <cell r="A180" t="str">
            <v>珠光蝴蝶结收纳袋</v>
          </cell>
          <cell r="B180">
            <v>10.274</v>
          </cell>
        </row>
        <row r="181">
          <cell r="A181" t="str">
            <v>我的世界小床8cm</v>
          </cell>
          <cell r="B181">
            <v>6.314</v>
          </cell>
          <cell r="C181" t="str">
            <v>920276936664</v>
          </cell>
          <cell r="D181" t="str">
            <v>918261592451</v>
          </cell>
        </row>
        <row r="182">
          <cell r="A182" t="str">
            <v>扭扭解压球6cm矮</v>
          </cell>
          <cell r="B182">
            <v>9.218</v>
          </cell>
        </row>
        <row r="183">
          <cell r="A183" t="str">
            <v>扭扭解压球6cm高</v>
          </cell>
          <cell r="B183">
            <v>10.3136</v>
          </cell>
        </row>
        <row r="184">
          <cell r="A184" t="str">
            <v>蝴蝶龙</v>
          </cell>
          <cell r="B184">
            <v>5.23534</v>
          </cell>
          <cell r="C184" t="str">
            <v>918977034229</v>
          </cell>
          <cell r="D184" t="str">
            <v>919014041184</v>
          </cell>
        </row>
        <row r="185">
          <cell r="A185" t="str">
            <v>扭扭中空滚筒按摩棒</v>
          </cell>
          <cell r="B185">
            <v>10.0826</v>
          </cell>
          <cell r="C185" t="str">
            <v>919029294038</v>
          </cell>
          <cell r="D185" t="str">
            <v>919043008949</v>
          </cell>
        </row>
        <row r="186">
          <cell r="A186" t="str">
            <v>玫瑰龙</v>
          </cell>
          <cell r="B186">
            <v>6.3822</v>
          </cell>
          <cell r="C186" t="str">
            <v>920229727537</v>
          </cell>
        </row>
        <row r="187">
          <cell r="A187" t="str">
            <v>郁金香龙</v>
          </cell>
          <cell r="B187">
            <v>5.522</v>
          </cell>
          <cell r="C187" t="str">
            <v>920294245800</v>
          </cell>
        </row>
        <row r="188">
          <cell r="A188" t="str">
            <v>珠光蝴蝶结笔筒绸缎面圆形</v>
          </cell>
          <cell r="B188">
            <v>9.35</v>
          </cell>
        </row>
        <row r="189">
          <cell r="A189" t="str">
            <v>珠光蝴蝶结笔筒方形</v>
          </cell>
          <cell r="B189">
            <v>9.086</v>
          </cell>
        </row>
        <row r="190">
          <cell r="A190" t="str">
            <v>随机拼豆笔</v>
          </cell>
          <cell r="B190">
            <v>4.07</v>
          </cell>
          <cell r="C190" t="str">
            <v>918994068398</v>
          </cell>
          <cell r="D190" t="str">
            <v>918974034216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0"/>
  <sheetViews>
    <sheetView tabSelected="1" workbookViewId="0">
      <selection activeCell="K3" sqref="K3"/>
    </sheetView>
  </sheetViews>
  <sheetFormatPr defaultColWidth="9" defaultRowHeight="13.5" outlineLevelCol="1"/>
  <cols>
    <col min="1" max="1" width="22" customWidth="1"/>
    <col min="2" max="2" width="35" customWidth="1"/>
  </cols>
  <sheetData>
    <row r="1" spans="1:2">
      <c r="A1" s="1" t="s">
        <v>0</v>
      </c>
      <c r="B1" s="1" t="s">
        <v>1</v>
      </c>
    </row>
    <row r="2" ht="121.5" spans="1:2">
      <c r="A2" s="4" t="str" cm="1">
        <f t="array" ref="A2:A190">_xlfn.UNIQUE(_xlfn._xlws.FILTER(_xlfn.TOCOL([1]Sheet1!C:K,1),_xlfn.TOCOL([1]Sheet1!C:K,1)&lt;&gt;""))</f>
        <v>897058144119</v>
      </c>
      <c r="B2" s="3" t="str" cm="1">
        <f t="array" ref="B2">IFERROR(_xlfn.TEXTJOIN(CHAR(10),TRUE,IF((TRIM([1]Sheet1!$C$2:$K$5000)=TRIM(A2))*(TRIM([1]Sheet1!$C$2:$K$5000)&lt;&gt;""),TRIM([1]Sheet1!$A$2:$A$5000)&amp;"    "&amp;TRIM([1]Sheet1!$B$2:$B$5000),"")),"")</f>
        <v>大马哈15cm    5.126
大马哈29cm    8.03
大马哈41cm    15.95</v>
      </c>
    </row>
    <row r="3" ht="121.5" spans="1:2">
      <c r="A3" s="4" t="str">
        <v>907029242021</v>
      </c>
      <c r="B3" s="3" t="str" cm="1">
        <f t="array" ref="B3">IFERROR(_xlfn.TEXTJOIN(CHAR(10),TRUE,IF((TRIM([1]Sheet1!$C$2:$K$5000)=TRIM(A3))*(TRIM([1]Sheet1!$C$2:$K$5000)&lt;&gt;""),TRIM([1]Sheet1!$A$2:$A$5000)&amp;"    "&amp;TRIM([1]Sheet1!$B$2:$B$5000),"")),"")</f>
        <v>大马哈15cm    5.126
大马哈29cm    8.03
大马哈41cm    15.95</v>
      </c>
    </row>
    <row r="4" ht="81" spans="1:2">
      <c r="A4" s="4" t="str">
        <v>897082593662</v>
      </c>
      <c r="B4" s="3" t="str" cm="1">
        <f t="array" ref="B4">IFERROR(_xlfn.TEXTJOIN(CHAR(10),TRUE,IF((TRIM([1]Sheet1!$C$2:$K$5000)=TRIM(A4))*(TRIM([1]Sheet1!$C$2:$K$5000)&lt;&gt;""),TRIM([1]Sheet1!$A$2:$A$5000)&amp;"    "&amp;TRIM([1]Sheet1!$B$2:$B$5000),"")),"")</f>
        <v>方块立体祝福10cm    8.162
方块立体祝福6cm    4.334</v>
      </c>
    </row>
    <row r="5" ht="81" spans="1:2">
      <c r="A5" s="4" t="str">
        <v>907029216556</v>
      </c>
      <c r="B5" s="3" t="str" cm="1">
        <f t="array" ref="B5">IFERROR(_xlfn.TEXTJOIN(CHAR(10),TRUE,IF((TRIM([1]Sheet1!$C$2:$K$5000)=TRIM(A5))*(TRIM([1]Sheet1!$C$2:$K$5000)&lt;&gt;""),TRIM([1]Sheet1!$A$2:$A$5000)&amp;"    "&amp;TRIM([1]Sheet1!$B$2:$B$5000),"")),"")</f>
        <v>方块立体祝福10cm    8.162
方块立体祝福6cm    4.334</v>
      </c>
    </row>
    <row r="6" ht="108" spans="1:2">
      <c r="A6" s="4" t="str">
        <v>897088671672</v>
      </c>
      <c r="B6" s="3" t="str" cm="1">
        <f t="array" ref="B6">IFERROR(_xlfn.TEXTJOIN(CHAR(10),TRUE,IF((TRIM([1]Sheet1!$C$2:$K$5000)=TRIM(A6))*(TRIM([1]Sheet1!$C$2:$K$5000)&lt;&gt;""),TRIM([1]Sheet1!$A$2:$A$5000)&amp;"    "&amp;TRIM([1]Sheet1!$B$2:$B$5000),"")),"")</f>
        <v>龙马精神关节可动龙35cm    10.329
龙马精神关节可动龙58cm    51.37</v>
      </c>
    </row>
    <row r="7" ht="108" spans="1:2">
      <c r="A7" s="4" t="str">
        <v>907029216180</v>
      </c>
      <c r="B7" s="3" t="str" cm="1">
        <f t="array" ref="B7">IFERROR(_xlfn.TEXTJOIN(CHAR(10),TRUE,IF((TRIM([1]Sheet1!$C$2:$K$5000)=TRIM(A7))*(TRIM([1]Sheet1!$C$2:$K$5000)&lt;&gt;""),TRIM([1]Sheet1!$A$2:$A$5000)&amp;"    "&amp;TRIM([1]Sheet1!$B$2:$B$5000),"")),"")</f>
        <v>龙马精神关节可动龙35cm    10.329
龙马精神关节可动龙58cm    51.37</v>
      </c>
    </row>
    <row r="8" ht="27" spans="1:2">
      <c r="A8" s="4" t="str">
        <v>897232491873</v>
      </c>
      <c r="B8" s="3" t="str" cm="1">
        <f t="array" ref="B8">IFERROR(_xlfn.TEXTJOIN(CHAR(10),TRUE,IF((TRIM([1]Sheet1!$C$2:$K$5000)=TRIM(A8))*(TRIM([1]Sheet1!$C$2:$K$5000)&lt;&gt;""),TRIM([1]Sheet1!$A$2:$A$5000)&amp;"    "&amp;TRIM([1]Sheet1!$B$2:$B$5000),"")),"")</f>
        <v>黑马    8.162</v>
      </c>
    </row>
    <row r="9" ht="27" spans="1:2">
      <c r="A9" s="4" t="str">
        <v>907029288973</v>
      </c>
      <c r="B9" s="3" t="str" cm="1">
        <f t="array" ref="B9">IFERROR(_xlfn.TEXTJOIN(CHAR(10),TRUE,IF((TRIM([1]Sheet1!$C$2:$K$5000)=TRIM(A9))*(TRIM([1]Sheet1!$C$2:$K$5000)&lt;&gt;""),TRIM([1]Sheet1!$A$2:$A$5000)&amp;"    "&amp;TRIM([1]Sheet1!$B$2:$B$5000),"")),"")</f>
        <v>黑马    8.162</v>
      </c>
    </row>
    <row r="10" ht="54" spans="1:2">
      <c r="A10" s="4" t="str">
        <v>897255952891</v>
      </c>
      <c r="B10" s="3" t="str" cm="1">
        <f t="array" ref="B10">IFERROR(_xlfn.TEXTJOIN(CHAR(10),TRUE,IF((TRIM([1]Sheet1!$C$2:$K$5000)=TRIM(A10))*(TRIM([1]Sheet1!$C$2:$K$5000)&lt;&gt;""),TRIM([1]Sheet1!$A$2:$A$5000)&amp;"    "&amp;TRIM([1]Sheet1!$B$2:$B$5000),"")),"")</f>
        <v>赛博朋克机械手15cm    8.49596</v>
      </c>
    </row>
    <row r="11" ht="54" spans="1:2">
      <c r="A11" s="4" t="str">
        <v>907029134717</v>
      </c>
      <c r="B11" s="3" t="str" cm="1">
        <f t="array" ref="B11">IFERROR(_xlfn.TEXTJOIN(CHAR(10),TRUE,IF((TRIM([1]Sheet1!$C$2:$K$5000)=TRIM(A11))*(TRIM([1]Sheet1!$C$2:$K$5000)&lt;&gt;""),TRIM([1]Sheet1!$A$2:$A$5000)&amp;"    "&amp;TRIM([1]Sheet1!$B$2:$B$5000),"")),"")</f>
        <v>赛博朋克机械手15cm    8.49596</v>
      </c>
    </row>
    <row r="12" ht="40.5" spans="1:2">
      <c r="A12" s="4" t="str">
        <v>897813496861</v>
      </c>
      <c r="B12" s="3" t="str" cm="1">
        <f t="array" ref="B12">IFERROR(_xlfn.TEXTJOIN(CHAR(10),TRUE,IF((TRIM([1]Sheet1!$C$2:$K$5000)=TRIM(A12))*(TRIM([1]Sheet1!$C$2:$K$5000)&lt;&gt;""),TRIM([1]Sheet1!$A$2:$A$5000)&amp;"    "&amp;TRIM([1]Sheet1!$B$2:$B$5000),"")),"")</f>
        <v>手榴弹MK2    11.33</v>
      </c>
    </row>
    <row r="13" ht="40.5" spans="1:2">
      <c r="A13" s="4" t="str">
        <v>907029928138</v>
      </c>
      <c r="B13" s="3" t="str" cm="1">
        <f t="array" ref="B13">IFERROR(_xlfn.TEXTJOIN(CHAR(10),TRUE,IF((TRIM([1]Sheet1!$C$2:$K$5000)=TRIM(A13))*(TRIM([1]Sheet1!$C$2:$K$5000)&lt;&gt;""),TRIM([1]Sheet1!$A$2:$A$5000)&amp;"    "&amp;TRIM([1]Sheet1!$B$2:$B$5000),"")),"")</f>
        <v>手榴弹MK2    11.33</v>
      </c>
    </row>
    <row r="14" ht="40.5" spans="1:2">
      <c r="A14" s="4" t="str">
        <v>912466142886</v>
      </c>
      <c r="B14" s="3" t="str" cm="1">
        <f t="array" ref="B14">IFERROR(_xlfn.TEXTJOIN(CHAR(10),TRUE,IF((TRIM([1]Sheet1!$C$2:$K$5000)=TRIM(A14))*(TRIM([1]Sheet1!$C$2:$K$5000)&lt;&gt;""),TRIM([1]Sheet1!$A$2:$A$5000)&amp;"    "&amp;TRIM([1]Sheet1!$B$2:$B$5000),"")),"")</f>
        <v>手榴弹MK2    11.33</v>
      </c>
    </row>
    <row r="15" ht="27" spans="1:2">
      <c r="A15" s="4" t="str">
        <v>897870827177</v>
      </c>
      <c r="B15" s="3" t="str" cm="1">
        <f t="array" ref="B15">IFERROR(_xlfn.TEXTJOIN(CHAR(10),TRUE,IF((TRIM([1]Sheet1!$C$2:$K$5000)=TRIM(A15))*(TRIM([1]Sheet1!$C$2:$K$5000)&lt;&gt;""),TRIM([1]Sheet1!$A$2:$A$5000)&amp;"    "&amp;TRIM([1]Sheet1!$B$2:$B$5000),"")),"")</f>
        <v>南极生物    6.71</v>
      </c>
    </row>
    <row r="16" ht="27" spans="1:2">
      <c r="A16" s="4" t="str">
        <v>907029810569</v>
      </c>
      <c r="B16" s="3" t="str" cm="1">
        <f t="array" ref="B16">IFERROR(_xlfn.TEXTJOIN(CHAR(10),TRUE,IF((TRIM([1]Sheet1!$C$2:$K$5000)=TRIM(A16))*(TRIM([1]Sheet1!$C$2:$K$5000)&lt;&gt;""),TRIM([1]Sheet1!$A$2:$A$5000)&amp;"    "&amp;TRIM([1]Sheet1!$B$2:$B$5000),"")),"")</f>
        <v>南极生物    6.71</v>
      </c>
    </row>
    <row r="17" ht="40.5" spans="1:2">
      <c r="A17" s="4" t="str">
        <v>898477855965</v>
      </c>
      <c r="B17" s="3" t="str" cm="1">
        <f t="array" ref="B17">IFERROR(_xlfn.TEXTJOIN(CHAR(10),TRUE,IF((TRIM([1]Sheet1!$C$2:$K$5000)=TRIM(A17))*(TRIM([1]Sheet1!$C$2:$K$5000)&lt;&gt;""),TRIM([1]Sheet1!$A$2:$A$5000)&amp;"    "&amp;TRIM([1]Sheet1!$B$2:$B$5000),"")),"")</f>
        <v>KT拼豆漏斗    5.786</v>
      </c>
    </row>
    <row r="18" ht="40.5" spans="1:2">
      <c r="A18" s="4" t="str">
        <v>907029337163</v>
      </c>
      <c r="B18" s="3" t="str" cm="1">
        <f t="array" ref="B18">IFERROR(_xlfn.TEXTJOIN(CHAR(10),TRUE,IF((TRIM([1]Sheet1!$C$2:$K$5000)=TRIM(A18))*(TRIM([1]Sheet1!$C$2:$K$5000)&lt;&gt;""),TRIM([1]Sheet1!$A$2:$A$5000)&amp;"    "&amp;TRIM([1]Sheet1!$B$2:$B$5000),"")),"")</f>
        <v>KT拼豆漏斗    5.786</v>
      </c>
    </row>
    <row r="19" ht="40.5" spans="1:2">
      <c r="A19" s="4" t="str">
        <v>907009316317</v>
      </c>
      <c r="B19" s="3" t="str" cm="1">
        <f t="array" ref="B19">IFERROR(_xlfn.TEXTJOIN(CHAR(10),TRUE,IF((TRIM([1]Sheet1!$C$2:$K$5000)=TRIM(A19))*(TRIM([1]Sheet1!$C$2:$K$5000)&lt;&gt;""),TRIM([1]Sheet1!$A$2:$A$5000)&amp;"    "&amp;TRIM([1]Sheet1!$B$2:$B$5000),"")),"")</f>
        <v>KT拼豆漏斗    5.786</v>
      </c>
    </row>
    <row r="20" ht="40.5" spans="1:2">
      <c r="A20" s="4" t="str">
        <v>912314039588</v>
      </c>
      <c r="B20" s="3" t="str" cm="1">
        <f t="array" ref="B20">IFERROR(_xlfn.TEXTJOIN(CHAR(10),TRUE,IF((TRIM([1]Sheet1!$C$2:$K$5000)=TRIM(A20))*(TRIM([1]Sheet1!$C$2:$K$5000)&lt;&gt;""),TRIM([1]Sheet1!$A$2:$A$5000)&amp;"    "&amp;TRIM([1]Sheet1!$B$2:$B$5000),"")),"")</f>
        <v>KT拼豆漏斗    5.786</v>
      </c>
    </row>
    <row r="21" ht="40.5" spans="1:2">
      <c r="A21" s="4" t="str">
        <v>898497569377</v>
      </c>
      <c r="B21" s="3" t="str" cm="1">
        <f t="array" ref="B21">IFERROR(_xlfn.TEXTJOIN(CHAR(10),TRUE,IF((TRIM([1]Sheet1!$C$2:$K$5000)=TRIM(A21))*(TRIM([1]Sheet1!$C$2:$K$5000)&lt;&gt;""),TRIM([1]Sheet1!$A$2:$A$5000)&amp;"    "&amp;TRIM([1]Sheet1!$B$2:$B$5000),"")),"")</f>
        <v>忍者星型指尖陀螺    6.88556</v>
      </c>
    </row>
    <row r="22" ht="40.5" spans="1:2">
      <c r="A22" s="4" t="str">
        <v>907029360522</v>
      </c>
      <c r="B22" s="3" t="str" cm="1">
        <f t="array" ref="B22">IFERROR(_xlfn.TEXTJOIN(CHAR(10),TRUE,IF((TRIM([1]Sheet1!$C$2:$K$5000)=TRIM(A22))*(TRIM([1]Sheet1!$C$2:$K$5000)&lt;&gt;""),TRIM([1]Sheet1!$A$2:$A$5000)&amp;"    "&amp;TRIM([1]Sheet1!$B$2:$B$5000),"")),"")</f>
        <v>忍者星型指尖陀螺    6.88556</v>
      </c>
    </row>
    <row r="23" ht="81" spans="1:2">
      <c r="A23" s="4" t="str">
        <v>903149250831</v>
      </c>
      <c r="B23" s="3" t="str" cm="1">
        <f t="array" ref="B23">IFERROR(_xlfn.TEXTJOIN(CHAR(10),TRUE,IF((TRIM([1]Sheet1!$C$2:$K$5000)=TRIM(A23))*(TRIM([1]Sheet1!$C$2:$K$5000)&lt;&gt;""),TRIM([1]Sheet1!$A$2:$A$5000)&amp;"    "&amp;TRIM([1]Sheet1!$B$2:$B$5000),"")),"")</f>
        <v>寻秦记新版    7.1456
寻秦记旧版    6.974</v>
      </c>
    </row>
    <row r="24" ht="81" spans="1:2">
      <c r="A24" s="4" t="str">
        <v>898591125422</v>
      </c>
      <c r="B24" s="3" t="str" cm="1">
        <f t="array" ref="B24">IFERROR(_xlfn.TEXTJOIN(CHAR(10),TRUE,IF((TRIM([1]Sheet1!$C$2:$K$5000)=TRIM(A24))*(TRIM([1]Sheet1!$C$2:$K$5000)&lt;&gt;""),TRIM([1]Sheet1!$A$2:$A$5000)&amp;"    "&amp;TRIM([1]Sheet1!$B$2:$B$5000),"")),"")</f>
        <v>寻秦记新版    7.1456
寻秦记旧版    6.974</v>
      </c>
    </row>
    <row r="25" ht="81" spans="1:2">
      <c r="A25" s="4" t="str">
        <v>907029643891</v>
      </c>
      <c r="B25" s="3" t="str" cm="1">
        <f t="array" ref="B25">IFERROR(_xlfn.TEXTJOIN(CHAR(10),TRUE,IF((TRIM([1]Sheet1!$C$2:$K$5000)=TRIM(A25))*(TRIM([1]Sheet1!$C$2:$K$5000)&lt;&gt;""),TRIM([1]Sheet1!$A$2:$A$5000)&amp;"    "&amp;TRIM([1]Sheet1!$B$2:$B$5000),"")),"")</f>
        <v>寻秦记新版    7.1456
寻秦记旧版    6.974</v>
      </c>
    </row>
    <row r="26" ht="81" spans="1:2">
      <c r="A26" s="4" t="str">
        <v>907029024862</v>
      </c>
      <c r="B26" s="3" t="str" cm="1">
        <f t="array" ref="B26">IFERROR(_xlfn.TEXTJOIN(CHAR(10),TRUE,IF((TRIM([1]Sheet1!$C$2:$K$5000)=TRIM(A26))*(TRIM([1]Sheet1!$C$2:$K$5000)&lt;&gt;""),TRIM([1]Sheet1!$A$2:$A$5000)&amp;"    "&amp;TRIM([1]Sheet1!$B$2:$B$5000),"")),"")</f>
        <v>寻秦记新版    7.1456
寻秦记旧版    6.974</v>
      </c>
    </row>
    <row r="27" ht="27" spans="1:2">
      <c r="A27" s="4" t="str">
        <v>899645779971</v>
      </c>
      <c r="B27" s="3" t="str" cm="1">
        <f t="array" ref="B27">IFERROR(_xlfn.TEXTJOIN(CHAR(10),TRUE,IF((TRIM([1]Sheet1!$C$2:$K$5000)=TRIM(A27))*(TRIM([1]Sheet1!$C$2:$K$5000)&lt;&gt;""),TRIM([1]Sheet1!$A$2:$A$5000)&amp;"    "&amp;TRIM([1]Sheet1!$B$2:$B$5000),"")),"")</f>
        <v>条纹蜥蜴    7.21875</v>
      </c>
    </row>
    <row r="28" ht="27" spans="1:2">
      <c r="A28" s="4" t="str">
        <v>907029881192</v>
      </c>
      <c r="B28" s="3" t="str" cm="1">
        <f t="array" ref="B28">IFERROR(_xlfn.TEXTJOIN(CHAR(10),TRUE,IF((TRIM([1]Sheet1!$C$2:$K$5000)=TRIM(A28))*(TRIM([1]Sheet1!$C$2:$K$5000)&lt;&gt;""),TRIM([1]Sheet1!$A$2:$A$5000)&amp;"    "&amp;TRIM([1]Sheet1!$B$2:$B$5000),"")),"")</f>
        <v>条纹蜥蜴    7.21875</v>
      </c>
    </row>
    <row r="29" ht="27" spans="1:2">
      <c r="A29" s="4" t="str">
        <v>899648175298</v>
      </c>
      <c r="B29" s="3" t="str" cm="1">
        <f t="array" ref="B29">IFERROR(_xlfn.TEXTJOIN(CHAR(10),TRUE,IF((TRIM([1]Sheet1!$C$2:$K$5000)=TRIM(A29))*(TRIM([1]Sheet1!$C$2:$K$5000)&lt;&gt;""),TRIM([1]Sheet1!$A$2:$A$5000)&amp;"    "&amp;TRIM([1]Sheet1!$B$2:$B$5000),"")),"")</f>
        <v>凶狠猫咪    4.7663</v>
      </c>
    </row>
    <row r="30" ht="27" spans="1:2">
      <c r="A30" s="4" t="str">
        <v>907029466299</v>
      </c>
      <c r="B30" s="3" t="str" cm="1">
        <f t="array" ref="B30">IFERROR(_xlfn.TEXTJOIN(CHAR(10),TRUE,IF((TRIM([1]Sheet1!$C$2:$K$5000)=TRIM(A30))*(TRIM([1]Sheet1!$C$2:$K$5000)&lt;&gt;""),TRIM([1]Sheet1!$A$2:$A$5000)&amp;"    "&amp;TRIM([1]Sheet1!$B$2:$B$5000),"")),"")</f>
        <v>凶狠猫咪    4.7663</v>
      </c>
    </row>
    <row r="31" ht="40.5" spans="1:2">
      <c r="A31" s="4" t="str">
        <v>899650410824</v>
      </c>
      <c r="B31" s="3" t="str" cm="1">
        <f t="array" ref="B31">IFERROR(_xlfn.TEXTJOIN(CHAR(10),TRUE,IF((TRIM([1]Sheet1!$C$2:$K$5000)=TRIM(A31))*(TRIM([1]Sheet1!$C$2:$K$5000)&lt;&gt;""),TRIM([1]Sheet1!$A$2:$A$5000)&amp;"    "&amp;TRIM([1]Sheet1!$B$2:$B$5000),"")),"")</f>
        <v>爱心大眼章鱼    5.8245</v>
      </c>
    </row>
    <row r="32" ht="40.5" spans="1:2">
      <c r="A32" s="4" t="str">
        <v>907029156661</v>
      </c>
      <c r="B32" s="3" t="str" cm="1">
        <f t="array" ref="B32">IFERROR(_xlfn.TEXTJOIN(CHAR(10),TRUE,IF((TRIM([1]Sheet1!$C$2:$K$5000)=TRIM(A32))*(TRIM([1]Sheet1!$C$2:$K$5000)&lt;&gt;""),TRIM([1]Sheet1!$A$2:$A$5000)&amp;"    "&amp;TRIM([1]Sheet1!$B$2:$B$5000),"")),"")</f>
        <v>爱心大眼章鱼    5.8245</v>
      </c>
    </row>
    <row r="33" ht="81" spans="1:2">
      <c r="A33" s="4" t="str">
        <v>899651366347</v>
      </c>
      <c r="B33" s="3" t="str" cm="1">
        <f t="array" ref="B33">IFERROR(_xlfn.TEXTJOIN(CHAR(10),TRUE,IF((TRIM([1]Sheet1!$C$2:$K$5000)=TRIM(A33))*(TRIM([1]Sheet1!$C$2:$K$5000)&lt;&gt;""),TRIM([1]Sheet1!$A$2:$A$5000)&amp;"    "&amp;TRIM([1]Sheet1!$B$2:$B$5000),"")),"")</f>
        <v>小龙    6.5967
龙蛋    12.64989
龙加蛋    16.49659</v>
      </c>
    </row>
    <row r="34" ht="81" spans="1:2">
      <c r="A34" s="4" t="str">
        <v>907029822270</v>
      </c>
      <c r="B34" s="3" t="str" cm="1">
        <f t="array" ref="B34">IFERROR(_xlfn.TEXTJOIN(CHAR(10),TRUE,IF((TRIM([1]Sheet1!$C$2:$K$5000)=TRIM(A34))*(TRIM([1]Sheet1!$C$2:$K$5000)&lt;&gt;""),TRIM([1]Sheet1!$A$2:$A$5000)&amp;"    "&amp;TRIM([1]Sheet1!$B$2:$B$5000),"")),"")</f>
        <v>小龙    6.5967
龙蛋    12.64989
龙加蛋    16.49659</v>
      </c>
    </row>
    <row r="35" ht="27" spans="1:2">
      <c r="A35" s="4" t="str">
        <v>899659177176</v>
      </c>
      <c r="B35" s="3" t="str" cm="1">
        <f t="array" ref="B35">IFERROR(_xlfn.TEXTJOIN(CHAR(10),TRUE,IF((TRIM([1]Sheet1!$C$2:$K$5000)=TRIM(A35))*(TRIM([1]Sheet1!$C$2:$K$5000)&lt;&gt;""),TRIM([1]Sheet1!$A$2:$A$5000)&amp;"    "&amp;TRIM([1]Sheet1!$B$2:$B$5000),"")),"")</f>
        <v>多色蜘蛛    9.9</v>
      </c>
    </row>
    <row r="36" ht="27" spans="1:2">
      <c r="A36" s="4" t="str">
        <v>907029596135</v>
      </c>
      <c r="B36" s="3" t="str" cm="1">
        <f t="array" ref="B36">IFERROR(_xlfn.TEXTJOIN(CHAR(10),TRUE,IF((TRIM([1]Sheet1!$C$2:$K$5000)=TRIM(A36))*(TRIM([1]Sheet1!$C$2:$K$5000)&lt;&gt;""),TRIM([1]Sheet1!$A$2:$A$5000)&amp;"    "&amp;TRIM([1]Sheet1!$B$2:$B$5000),"")),"")</f>
        <v>多色蜘蛛    9.9</v>
      </c>
    </row>
    <row r="37" ht="40.5" spans="1:2">
      <c r="A37" s="4" t="str">
        <v>899665522815</v>
      </c>
      <c r="B37" s="3" t="str" cm="1">
        <f t="array" ref="B37">IFERROR(_xlfn.TEXTJOIN(CHAR(10),TRUE,IF((TRIM([1]Sheet1!$C$2:$K$5000)=TRIM(A37))*(TRIM([1]Sheet1!$C$2:$K$5000)&lt;&gt;""),TRIM([1]Sheet1!$A$2:$A$5000)&amp;"    "&amp;TRIM([1]Sheet1!$B$2:$B$5000),"")),"")</f>
        <v>方块毛毛虫    7.04</v>
      </c>
    </row>
    <row r="38" ht="40.5" spans="1:2">
      <c r="A38" s="4" t="str">
        <v>907029274993</v>
      </c>
      <c r="B38" s="3" t="str" cm="1">
        <f t="array" ref="B38">IFERROR(_xlfn.TEXTJOIN(CHAR(10),TRUE,IF((TRIM([1]Sheet1!$C$2:$K$5000)=TRIM(A38))*(TRIM([1]Sheet1!$C$2:$K$5000)&lt;&gt;""),TRIM([1]Sheet1!$A$2:$A$5000)&amp;"    "&amp;TRIM([1]Sheet1!$B$2:$B$5000),"")),"")</f>
        <v>方块毛毛虫    7.04</v>
      </c>
    </row>
    <row r="39" ht="27" spans="1:2">
      <c r="A39" s="4" t="str">
        <v>899669052018</v>
      </c>
      <c r="B39" s="3" t="str" cm="1">
        <f t="array" ref="B39">IFERROR(_xlfn.TEXTJOIN(CHAR(10),TRUE,IF((TRIM([1]Sheet1!$C$2:$K$5000)=TRIM(A39))*(TRIM([1]Sheet1!$C$2:$K$5000)&lt;&gt;""),TRIM([1]Sheet1!$A$2:$A$5000)&amp;"    "&amp;TRIM([1]Sheet1!$B$2:$B$5000),"")),"")</f>
        <v>爱心龙    9.185</v>
      </c>
    </row>
    <row r="40" ht="27" spans="1:2">
      <c r="A40" s="4" t="str">
        <v>907029465487</v>
      </c>
      <c r="B40" s="3" t="str" cm="1">
        <f t="array" ref="B40">IFERROR(_xlfn.TEXTJOIN(CHAR(10),TRUE,IF((TRIM([1]Sheet1!$C$2:$K$5000)=TRIM(A40))*(TRIM([1]Sheet1!$C$2:$K$5000)&lt;&gt;""),TRIM([1]Sheet1!$A$2:$A$5000)&amp;"    "&amp;TRIM([1]Sheet1!$B$2:$B$5000),"")),"")</f>
        <v>爱心龙    9.185</v>
      </c>
    </row>
    <row r="41" ht="27" spans="1:2">
      <c r="A41" s="4" t="str">
        <v>899672239782</v>
      </c>
      <c r="B41" s="3" t="str" cm="1">
        <f t="array" ref="B41">IFERROR(_xlfn.TEXTJOIN(CHAR(10),TRUE,IF((TRIM([1]Sheet1!$C$2:$K$5000)=TRIM(A41))*(TRIM([1]Sheet1!$C$2:$K$5000)&lt;&gt;""),TRIM([1]Sheet1!$A$2:$A$5000)&amp;"    "&amp;TRIM([1]Sheet1!$B$2:$B$5000),"")),"")</f>
        <v>拼装小马    9.9</v>
      </c>
    </row>
    <row r="42" ht="27" spans="1:2">
      <c r="A42" s="4" t="str">
        <v>907029369901</v>
      </c>
      <c r="B42" s="3" t="str" cm="1">
        <f t="array" ref="B42">IFERROR(_xlfn.TEXTJOIN(CHAR(10),TRUE,IF((TRIM([1]Sheet1!$C$2:$K$5000)=TRIM(A42))*(TRIM([1]Sheet1!$C$2:$K$5000)&lt;&gt;""),TRIM([1]Sheet1!$A$2:$A$5000)&amp;"    "&amp;TRIM([1]Sheet1!$B$2:$B$5000),"")),"")</f>
        <v>拼装小马    9.9</v>
      </c>
    </row>
    <row r="43" ht="40.5" spans="1:2">
      <c r="A43" s="4" t="str">
        <v>899700890926</v>
      </c>
      <c r="B43" s="3" t="str" cm="1">
        <f t="array" ref="B43">IFERROR(_xlfn.TEXTJOIN(CHAR(10),TRUE,IF((TRIM([1]Sheet1!$C$2:$K$5000)=TRIM(A43))*(TRIM([1]Sheet1!$C$2:$K$5000)&lt;&gt;""),TRIM([1]Sheet1!$A$2:$A$5000)&amp;"    "&amp;TRIM([1]Sheet1!$B$2:$B$5000),"")),"")</f>
        <v>米菲兔豆铲    5.8718</v>
      </c>
    </row>
    <row r="44" ht="40.5" spans="1:2">
      <c r="A44" s="4" t="str">
        <v>907029120425</v>
      </c>
      <c r="B44" s="3" t="str" cm="1">
        <f t="array" ref="B44">IFERROR(_xlfn.TEXTJOIN(CHAR(10),TRUE,IF((TRIM([1]Sheet1!$C$2:$K$5000)=TRIM(A44))*(TRIM([1]Sheet1!$C$2:$K$5000)&lt;&gt;""),TRIM([1]Sheet1!$A$2:$A$5000)&amp;"    "&amp;TRIM([1]Sheet1!$B$2:$B$5000),"")),"")</f>
        <v>米菲兔豆铲    5.8718</v>
      </c>
    </row>
    <row r="45" ht="40.5" spans="1:2">
      <c r="A45" s="4" t="str">
        <v>900088619943</v>
      </c>
      <c r="B45" s="3" t="str" cm="1">
        <f t="array" ref="B45">IFERROR(_xlfn.TEXTJOIN(CHAR(10),TRUE,IF((TRIM([1]Sheet1!$C$2:$K$5000)=TRIM(A45))*(TRIM([1]Sheet1!$C$2:$K$5000)&lt;&gt;""),TRIM([1]Sheet1!$A$2:$A$5000)&amp;"    "&amp;TRIM([1]Sheet1!$B$2:$B$5000),"")),"")</f>
        <v>双色kt双针豆笔    3.6795</v>
      </c>
    </row>
    <row r="46" ht="40.5" spans="1:2">
      <c r="A46" s="4" t="str">
        <v>907014421740</v>
      </c>
      <c r="B46" s="3" t="str" cm="1">
        <f t="array" ref="B46">IFERROR(_xlfn.TEXTJOIN(CHAR(10),TRUE,IF((TRIM([1]Sheet1!$C$2:$K$5000)=TRIM(A46))*(TRIM([1]Sheet1!$C$2:$K$5000)&lt;&gt;""),TRIM([1]Sheet1!$A$2:$A$5000)&amp;"    "&amp;TRIM([1]Sheet1!$B$2:$B$5000),"")),"")</f>
        <v>双色kt双针豆笔    3.6795</v>
      </c>
    </row>
    <row r="47" ht="40.5" spans="1:2">
      <c r="A47" s="4" t="str">
        <v>911794524968</v>
      </c>
      <c r="B47" s="3" t="str" cm="1">
        <f t="array" ref="B47">IFERROR(_xlfn.TEXTJOIN(CHAR(10),TRUE,IF((TRIM([1]Sheet1!$C$2:$K$5000)=TRIM(A47))*(TRIM([1]Sheet1!$C$2:$K$5000)&lt;&gt;""),TRIM([1]Sheet1!$A$2:$A$5000)&amp;"    "&amp;TRIM([1]Sheet1!$B$2:$B$5000),"")),"")</f>
        <v>双色kt双针豆笔    3.6795</v>
      </c>
    </row>
    <row r="48" ht="81" spans="1:2">
      <c r="A48" s="4" t="str">
        <v>900090466348</v>
      </c>
      <c r="B48" s="3" t="str" cm="1">
        <f t="array" ref="B48">IFERROR(_xlfn.TEXTJOIN(CHAR(10),TRUE,IF((TRIM([1]Sheet1!$C$2:$K$5000)=TRIM(A48))*(TRIM([1]Sheet1!$C$2:$K$5000)&lt;&gt;""),TRIM([1]Sheet1!$A$2:$A$5000)&amp;"    "&amp;TRIM([1]Sheet1!$B$2:$B$5000),"")),"")</f>
        <v>麦当劳豆铲(小)    6.6176
麦当劳豆铲(大)    9.2576</v>
      </c>
    </row>
    <row r="49" ht="81" spans="1:2">
      <c r="A49" s="4" t="str">
        <v>907029014698</v>
      </c>
      <c r="B49" s="3" t="str" cm="1">
        <f t="array" ref="B49">IFERROR(_xlfn.TEXTJOIN(CHAR(10),TRUE,IF((TRIM([1]Sheet1!$C$2:$K$5000)=TRIM(A49))*(TRIM([1]Sheet1!$C$2:$K$5000)&lt;&gt;""),TRIM([1]Sheet1!$A$2:$A$5000)&amp;"    "&amp;TRIM([1]Sheet1!$B$2:$B$5000),"")),"")</f>
        <v>麦当劳豆铲(小)    6.6176
麦当劳豆铲(大)    9.2576</v>
      </c>
    </row>
    <row r="50" ht="54" spans="1:2">
      <c r="A50" s="4" t="str">
        <v>900204339606</v>
      </c>
      <c r="B50" s="3" t="str" cm="1">
        <f t="array" ref="B50">IFERROR(_xlfn.TEXTJOIN(CHAR(10),TRUE,IF((TRIM([1]Sheet1!$C$2:$K$5000)=TRIM(A50))*(TRIM([1]Sheet1!$C$2:$K$5000)&lt;&gt;""),TRIM([1]Sheet1!$A$2:$A$5000)&amp;"    "&amp;TRIM([1]Sheet1!$B$2:$B$5000),"")),"")</f>
        <v>复活节兔子蛋螺旋蛋    5.48636</v>
      </c>
    </row>
    <row r="51" ht="54" spans="1:2">
      <c r="A51" s="4" t="str">
        <v>907029072076</v>
      </c>
      <c r="B51" s="3" t="str" cm="1">
        <f t="array" ref="B51">IFERROR(_xlfn.TEXTJOIN(CHAR(10),TRUE,IF((TRIM([1]Sheet1!$C$2:$K$5000)=TRIM(A51))*(TRIM([1]Sheet1!$C$2:$K$5000)&lt;&gt;""),TRIM([1]Sheet1!$A$2:$A$5000)&amp;"    "&amp;TRIM([1]Sheet1!$B$2:$B$5000),"")),"")</f>
        <v>复活节兔子蛋螺旋蛋    5.48636</v>
      </c>
    </row>
    <row r="52" ht="54" spans="1:2">
      <c r="A52" s="4" t="str">
        <v>900205322493</v>
      </c>
      <c r="B52" s="3" t="str" cm="1">
        <f t="array" ref="B52">IFERROR(_xlfn.TEXTJOIN(CHAR(10),TRUE,IF((TRIM([1]Sheet1!$C$2:$K$5000)=TRIM(A52))*(TRIM([1]Sheet1!$C$2:$K$5000)&lt;&gt;""),TRIM([1]Sheet1!$A$2:$A$5000)&amp;"    "&amp;TRIM([1]Sheet1!$B$2:$B$5000),"")),"")</f>
        <v>复活节兔子蛋烟花蛋    9.8516</v>
      </c>
    </row>
    <row r="53" ht="54" spans="1:2">
      <c r="A53" s="4" t="str">
        <v>907029808595</v>
      </c>
      <c r="B53" s="3" t="str" cm="1">
        <f t="array" ref="B53">IFERROR(_xlfn.TEXTJOIN(CHAR(10),TRUE,IF((TRIM([1]Sheet1!$C$2:$K$5000)=TRIM(A53))*(TRIM([1]Sheet1!$C$2:$K$5000)&lt;&gt;""),TRIM([1]Sheet1!$A$2:$A$5000)&amp;"    "&amp;TRIM([1]Sheet1!$B$2:$B$5000),"")),"")</f>
        <v>复活节兔子蛋烟花蛋    9.8516</v>
      </c>
    </row>
    <row r="54" ht="54" spans="1:2">
      <c r="A54" s="4" t="str">
        <v>900208597423</v>
      </c>
      <c r="B54" s="3" t="str" cm="1">
        <f t="array" ref="B54">IFERROR(_xlfn.TEXTJOIN(CHAR(10),TRUE,IF((TRIM([1]Sheet1!$C$2:$K$5000)=TRIM(A54))*(TRIM([1]Sheet1!$C$2:$K$5000)&lt;&gt;""),TRIM([1]Sheet1!$A$2:$A$5000)&amp;"    "&amp;TRIM([1]Sheet1!$B$2:$B$5000),"")),"")</f>
        <v>复活节兔子蛋竖纹蛋    9.97304</v>
      </c>
    </row>
    <row r="55" ht="54" spans="1:2">
      <c r="A55" s="4" t="str">
        <v>907029262443</v>
      </c>
      <c r="B55" s="3" t="str" cm="1">
        <f t="array" ref="B55">IFERROR(_xlfn.TEXTJOIN(CHAR(10),TRUE,IF((TRIM([1]Sheet1!$C$2:$K$5000)=TRIM(A55))*(TRIM([1]Sheet1!$C$2:$K$5000)&lt;&gt;""),TRIM([1]Sheet1!$A$2:$A$5000)&amp;"    "&amp;TRIM([1]Sheet1!$B$2:$B$5000),"")),"")</f>
        <v>复活节兔子蛋竖纹蛋    9.97304</v>
      </c>
    </row>
    <row r="56" ht="54" spans="1:2">
      <c r="A56" s="4" t="str">
        <v>900219161043</v>
      </c>
      <c r="B56" s="3" t="str" cm="1">
        <f t="array" ref="B56">IFERROR(_xlfn.TEXTJOIN(CHAR(10),TRUE,IF((TRIM([1]Sheet1!$C$2:$K$5000)=TRIM(A56))*(TRIM([1]Sheet1!$C$2:$K$5000)&lt;&gt;""),TRIM([1]Sheet1!$A$2:$A$5000)&amp;"    "&amp;TRIM([1]Sheet1!$B$2:$B$5000),"")),"")</f>
        <v>复活节兔子蛋向日葵蛋    10.769</v>
      </c>
    </row>
    <row r="57" ht="54" spans="1:2">
      <c r="A57" s="4" t="str">
        <v>907029037326</v>
      </c>
      <c r="B57" s="3" t="str" cm="1">
        <f t="array" ref="B57">IFERROR(_xlfn.TEXTJOIN(CHAR(10),TRUE,IF((TRIM([1]Sheet1!$C$2:$K$5000)=TRIM(A57))*(TRIM([1]Sheet1!$C$2:$K$5000)&lt;&gt;""),TRIM([1]Sheet1!$A$2:$A$5000)&amp;"    "&amp;TRIM([1]Sheet1!$B$2:$B$5000),"")),"")</f>
        <v>复活节兔子蛋向日葵蛋    10.769</v>
      </c>
    </row>
    <row r="58" ht="54" spans="1:2">
      <c r="A58" s="4" t="str">
        <v>900250230214</v>
      </c>
      <c r="B58" s="3" t="str" cm="1">
        <f t="array" ref="B58">IFERROR(_xlfn.TEXTJOIN(CHAR(10),TRUE,IF((TRIM([1]Sheet1!$C$2:$K$5000)=TRIM(A58))*(TRIM([1]Sheet1!$C$2:$K$5000)&lt;&gt;""),TRIM([1]Sheet1!$A$2:$A$5000)&amp;"    "&amp;TRIM([1]Sheet1!$B$2:$B$5000),"")),"")</f>
        <v>复活节兔子蛋镂空蛋    9.41336</v>
      </c>
    </row>
    <row r="59" ht="54" spans="1:2">
      <c r="A59" s="4" t="str">
        <v>907029535664</v>
      </c>
      <c r="B59" s="3" t="str" cm="1">
        <f t="array" ref="B59">IFERROR(_xlfn.TEXTJOIN(CHAR(10),TRUE,IF((TRIM([1]Sheet1!$C$2:$K$5000)=TRIM(A59))*(TRIM([1]Sheet1!$C$2:$K$5000)&lt;&gt;""),TRIM([1]Sheet1!$A$2:$A$5000)&amp;"    "&amp;TRIM([1]Sheet1!$B$2:$B$5000),"")),"")</f>
        <v>复活节兔子蛋镂空蛋    9.41336</v>
      </c>
    </row>
    <row r="60" ht="189" spans="1:2">
      <c r="A60" s="4" t="str">
        <v>900258209115</v>
      </c>
      <c r="B60" s="3" t="str" cm="1">
        <f t="array" ref="B60">IFERROR(_xlfn.TEXTJOIN(CHAR(10),TRUE,IF((TRIM([1]Sheet1!$C$2:$K$5000)=TRIM(A60))*(TRIM([1]Sheet1!$C$2:$K$5000)&lt;&gt;""),TRIM([1]Sheet1!$A$2:$A$5000)&amp;"    "&amp;TRIM([1]Sheet1!$B$2:$B$5000),"")),"")</f>
        <v>深海迷航海龙利维坦    12.254
深海迷航冰虫利维坦    12.73976
深海迷航潜行者    5.7332
深海迷航臭臭鱼    7.2908</v>
      </c>
    </row>
    <row r="61" ht="189" spans="1:2">
      <c r="A61" s="4" t="str">
        <v>907028989687</v>
      </c>
      <c r="B61" s="3" t="str" cm="1">
        <f t="array" ref="B61">IFERROR(_xlfn.TEXTJOIN(CHAR(10),TRUE,IF((TRIM([1]Sheet1!$C$2:$K$5000)=TRIM(A61))*(TRIM([1]Sheet1!$C$2:$K$5000)&lt;&gt;""),TRIM([1]Sheet1!$A$2:$A$5000)&amp;"    "&amp;TRIM([1]Sheet1!$B$2:$B$5000),"")),"")</f>
        <v>深海迷航海龙利维坦    12.254
深海迷航冰虫利维坦    12.73976
深海迷航潜行者    5.7332
深海迷航臭臭鱼    7.2908</v>
      </c>
    </row>
    <row r="62" ht="189" spans="1:2">
      <c r="A62" s="4" t="str">
        <v>912289083720</v>
      </c>
      <c r="B62" s="3" t="str" cm="1">
        <f t="array" ref="B62">IFERROR(_xlfn.TEXTJOIN(CHAR(10),TRUE,IF((TRIM([1]Sheet1!$C$2:$K$5000)=TRIM(A62))*(TRIM([1]Sheet1!$C$2:$K$5000)&lt;&gt;""),TRIM([1]Sheet1!$A$2:$A$5000)&amp;"    "&amp;TRIM([1]Sheet1!$B$2:$B$5000),"")),"")</f>
        <v>深海迷航海龙利维坦    12.254
深海迷航冰虫利维坦    12.73976
深海迷航潜行者    5.7332
深海迷航臭臭鱼    7.2908</v>
      </c>
    </row>
    <row r="63" ht="40.5" spans="1:2">
      <c r="A63" s="4" t="str">
        <v>900737858141</v>
      </c>
      <c r="B63" s="3" t="str" cm="1">
        <f t="array" ref="B63">IFERROR(_xlfn.TEXTJOIN(CHAR(10),TRUE,IF((TRIM([1]Sheet1!$C$2:$K$5000)=TRIM(A63))*(TRIM([1]Sheet1!$C$2:$K$5000)&lt;&gt;""),TRIM([1]Sheet1!$A$2:$A$5000)&amp;"    "&amp;TRIM([1]Sheet1!$B$2:$B$5000),"")),"")</f>
        <v>马头拖车头球盖    7.1984</v>
      </c>
    </row>
    <row r="64" ht="40.5" spans="1:2">
      <c r="A64" s="4" t="str">
        <v>907029048567</v>
      </c>
      <c r="B64" s="3" t="str" cm="1">
        <f t="array" ref="B64">IFERROR(_xlfn.TEXTJOIN(CHAR(10),TRUE,IF((TRIM([1]Sheet1!$C$2:$K$5000)=TRIM(A64))*(TRIM([1]Sheet1!$C$2:$K$5000)&lt;&gt;""),TRIM([1]Sheet1!$A$2:$A$5000)&amp;"    "&amp;TRIM([1]Sheet1!$B$2:$B$5000),"")),"")</f>
        <v>马头拖车头球盖    7.1984</v>
      </c>
    </row>
    <row r="65" ht="40.5" spans="1:2">
      <c r="A65" s="4" t="str">
        <v>900735713153</v>
      </c>
      <c r="B65" s="3" t="str" cm="1">
        <f t="array" ref="B65">IFERROR(_xlfn.TEXTJOIN(CHAR(10),TRUE,IF((TRIM([1]Sheet1!$C$2:$K$5000)=TRIM(A65))*(TRIM([1]Sheet1!$C$2:$K$5000)&lt;&gt;""),TRIM([1]Sheet1!$A$2:$A$5000)&amp;"    "&amp;TRIM([1]Sheet1!$B$2:$B$5000),"")),"")</f>
        <v>2胡须kt双针豆夹    3.806</v>
      </c>
    </row>
    <row r="66" ht="40.5" spans="1:2">
      <c r="A66" s="4" t="str">
        <v>907012488347</v>
      </c>
      <c r="B66" s="3" t="str" cm="1">
        <f t="array" ref="B66">IFERROR(_xlfn.TEXTJOIN(CHAR(10),TRUE,IF((TRIM([1]Sheet1!$C$2:$K$5000)=TRIM(A66))*(TRIM([1]Sheet1!$C$2:$K$5000)&lt;&gt;""),TRIM([1]Sheet1!$A$2:$A$5000)&amp;"    "&amp;TRIM([1]Sheet1!$B$2:$B$5000),"")),"")</f>
        <v>2胡须kt双针豆夹    3.806</v>
      </c>
    </row>
    <row r="67" ht="54" spans="1:2">
      <c r="A67" s="4" t="str">
        <v>900717816511</v>
      </c>
      <c r="B67" s="3" t="str" cm="1">
        <f t="array" ref="B67">IFERROR(_xlfn.TEXTJOIN(CHAR(10),TRUE,IF((TRIM([1]Sheet1!$C$2:$K$5000)=TRIM(A67))*(TRIM([1]Sheet1!$C$2:$K$5000)&lt;&gt;""),TRIM([1]Sheet1!$A$2:$A$5000)&amp;"    "&amp;TRIM([1]Sheet1!$B$2:$B$5000),"")),"")</f>
        <v>海龙34cm    8.954
海龙49cm    17.27</v>
      </c>
    </row>
    <row r="68" ht="54" spans="1:2">
      <c r="A68" s="4" t="str">
        <v>907029297732</v>
      </c>
      <c r="B68" s="3" t="str" cm="1">
        <f t="array" ref="B68">IFERROR(_xlfn.TEXTJOIN(CHAR(10),TRUE,IF((TRIM([1]Sheet1!$C$2:$K$5000)=TRIM(A68))*(TRIM([1]Sheet1!$C$2:$K$5000)&lt;&gt;""),TRIM([1]Sheet1!$A$2:$A$5000)&amp;"    "&amp;TRIM([1]Sheet1!$B$2:$B$5000),"")),"")</f>
        <v>海龙34cm    8.954
海龙49cm    17.27</v>
      </c>
    </row>
    <row r="69" ht="27" spans="1:2">
      <c r="A69" s="4" t="str">
        <v>900821127783</v>
      </c>
      <c r="B69" s="3" t="str" cm="1">
        <f t="array" ref="B69">IFERROR(_xlfn.TEXTJOIN(CHAR(10),TRUE,IF((TRIM([1]Sheet1!$C$2:$K$5000)=TRIM(A69))*(TRIM([1]Sheet1!$C$2:$K$5000)&lt;&gt;""),TRIM([1]Sheet1!$A$2:$A$5000)&amp;"    "&amp;TRIM([1]Sheet1!$B$2:$B$5000),"")),"")</f>
        <v>跳跳马    8.558</v>
      </c>
    </row>
    <row r="70" ht="27" spans="1:2">
      <c r="A70" s="4" t="str">
        <v>907029676982</v>
      </c>
      <c r="B70" s="3" t="str" cm="1">
        <f t="array" ref="B70">IFERROR(_xlfn.TEXTJOIN(CHAR(10),TRUE,IF((TRIM([1]Sheet1!$C$2:$K$5000)=TRIM(A70))*(TRIM([1]Sheet1!$C$2:$K$5000)&lt;&gt;""),TRIM([1]Sheet1!$A$2:$A$5000)&amp;"    "&amp;TRIM([1]Sheet1!$B$2:$B$5000),"")),"")</f>
        <v>跳跳马    8.558</v>
      </c>
    </row>
    <row r="71" ht="40.5" spans="1:2">
      <c r="A71" s="4" t="str">
        <v>900846517330</v>
      </c>
      <c r="B71" s="3" t="str" cm="1">
        <f t="array" ref="B71">IFERROR(_xlfn.TEXTJOIN(CHAR(10),TRUE,IF((TRIM([1]Sheet1!$C$2:$K$5000)=TRIM(A71))*(TRIM([1]Sheet1!$C$2:$K$5000)&lt;&gt;""),TRIM([1]Sheet1!$A$2:$A$5000)&amp;"    "&amp;TRIM([1]Sheet1!$B$2:$B$5000),"")),"")</f>
        <v>可爱小马驹    8.558</v>
      </c>
    </row>
    <row r="72" ht="40.5" spans="1:2">
      <c r="A72" s="4" t="str">
        <v>907029261389</v>
      </c>
      <c r="B72" s="3" t="str" cm="1">
        <f t="array" ref="B72">IFERROR(_xlfn.TEXTJOIN(CHAR(10),TRUE,IF((TRIM([1]Sheet1!$C$2:$K$5000)=TRIM(A72))*(TRIM([1]Sheet1!$C$2:$K$5000)&lt;&gt;""),TRIM([1]Sheet1!$A$2:$A$5000)&amp;"    "&amp;TRIM([1]Sheet1!$B$2:$B$5000),"")),"")</f>
        <v>可爱小马驹    8.558</v>
      </c>
    </row>
    <row r="73" ht="409.5" spans="1:2">
      <c r="A73" s="4" t="str">
        <v>900853405442</v>
      </c>
      <c r="B73" s="3" t="str" cm="1">
        <f t="array" ref="B73">IFERROR(_xlfn.TEXTJOIN(CHAR(10),TRUE,IF((TRIM([1]Sheet1!$C$2:$K$5000)=TRIM(A73))*(TRIM([1]Sheet1!$C$2:$K$5000)&lt;&gt;""),TRIM([1]Sheet1!$A$2:$A$5000)&amp;"    "&amp;TRIM([1]Sheet1!$B$2:$B$5000),"")),"")</f>
        <v>元宝小马系列招财坐款抱元宝    6.64675
元宝小马系列招财踏福迎财    5.430535
元宝小马系列童趣招财摇摇马    6.02041
元宝小马系列稳步招财漫步驮宝    7.213602
元宝小马系列祥瑞独角福运    5.29254
元宝小马系列励志飞黄腾达    6.23348
元宝小马系列可爱圆滚滚福气    4.31728
元宝小马系列旺运驮币铜钱    6.27781</v>
      </c>
    </row>
    <row r="74" ht="409.5" spans="1:2">
      <c r="A74" s="4" t="str">
        <v>907029546786</v>
      </c>
      <c r="B74" s="3" t="str" cm="1">
        <f t="array" ref="B74">IFERROR(_xlfn.TEXTJOIN(CHAR(10),TRUE,IF((TRIM([1]Sheet1!$C$2:$K$5000)=TRIM(A74))*(TRIM([1]Sheet1!$C$2:$K$5000)&lt;&gt;""),TRIM([1]Sheet1!$A$2:$A$5000)&amp;"    "&amp;TRIM([1]Sheet1!$B$2:$B$5000),"")),"")</f>
        <v>元宝小马系列招财坐款抱元宝    6.64675
元宝小马系列招财踏福迎财    5.430535
元宝小马系列童趣招财摇摇马    6.02041
元宝小马系列稳步招财漫步驮宝    7.213602
元宝小马系列祥瑞独角福运    5.29254
元宝小马系列励志飞黄腾达    6.23348
元宝小马系列可爱圆滚滚福气    4.31728
元宝小马系列旺运驮币铜钱    6.27781</v>
      </c>
    </row>
    <row r="75" ht="40.5" spans="1:2">
      <c r="A75" s="4" t="str">
        <v>900928405431</v>
      </c>
      <c r="B75" s="3" t="str" cm="1">
        <f t="array" ref="B75">IFERROR(_xlfn.TEXTJOIN(CHAR(10),TRUE,IF((TRIM([1]Sheet1!$C$2:$K$5000)=TRIM(A75))*(TRIM([1]Sheet1!$C$2:$K$5000)&lt;&gt;""),TRIM([1]Sheet1!$A$2:$A$5000)&amp;"    "&amp;TRIM([1]Sheet1!$B$2:$B$5000),"")),"")</f>
        <v>三角洲蝴蝶刀影锋    6.71</v>
      </c>
    </row>
    <row r="76" ht="40.5" spans="1:2">
      <c r="A76" s="4" t="str">
        <v>907029487128</v>
      </c>
      <c r="B76" s="3" t="str" cm="1">
        <f t="array" ref="B76">IFERROR(_xlfn.TEXTJOIN(CHAR(10),TRUE,IF((TRIM([1]Sheet1!$C$2:$K$5000)=TRIM(A76))*(TRIM([1]Sheet1!$C$2:$K$5000)&lt;&gt;""),TRIM([1]Sheet1!$A$2:$A$5000)&amp;"    "&amp;TRIM([1]Sheet1!$B$2:$B$5000),"")),"")</f>
        <v>三角洲蝴蝶刀影锋    6.71</v>
      </c>
    </row>
    <row r="77" ht="27" spans="1:2">
      <c r="A77" s="4" t="str">
        <v>901389694421</v>
      </c>
      <c r="B77" s="3" t="str" cm="1">
        <f t="array" ref="B77">IFERROR(_xlfn.TEXTJOIN(CHAR(10),TRUE,IF((TRIM([1]Sheet1!$C$2:$K$5000)=TRIM(A77))*(TRIM([1]Sheet1!$C$2:$K$5000)&lt;&gt;""),TRIM([1]Sheet1!$A$2:$A$5000)&amp;"    "&amp;TRIM([1]Sheet1!$B$2:$B$5000),"")),"")</f>
        <v>绳结卡    7.04</v>
      </c>
    </row>
    <row r="78" ht="27" spans="1:2">
      <c r="A78" s="4" t="str">
        <v>907029593446</v>
      </c>
      <c r="B78" s="3" t="str" cm="1">
        <f t="array" ref="B78">IFERROR(_xlfn.TEXTJOIN(CHAR(10),TRUE,IF((TRIM([1]Sheet1!$C$2:$K$5000)=TRIM(A78))*(TRIM([1]Sheet1!$C$2:$K$5000)&lt;&gt;""),TRIM([1]Sheet1!$A$2:$A$5000)&amp;"    "&amp;TRIM([1]Sheet1!$B$2:$B$5000),"")),"")</f>
        <v>绳结卡    7.04</v>
      </c>
    </row>
    <row r="79" ht="40.5" spans="1:2">
      <c r="A79" s="4" t="str">
        <v>907528159842</v>
      </c>
      <c r="B79" s="3" t="str" cm="1">
        <f t="array" ref="B79">IFERROR(_xlfn.TEXTJOIN(CHAR(10),TRUE,IF((TRIM([1]Sheet1!$C$2:$K$5000)=TRIM(A79))*(TRIM([1]Sheet1!$C$2:$K$5000)&lt;&gt;""),TRIM([1]Sheet1!$A$2:$A$5000)&amp;"    "&amp;TRIM([1]Sheet1!$B$2:$B$5000),"")),"")</f>
        <v>我的世界小猫    3.8225</v>
      </c>
    </row>
    <row r="80" ht="40.5" spans="1:2">
      <c r="A80" s="4" t="str">
        <v>901436582204</v>
      </c>
      <c r="B80" s="3" t="str" cm="1">
        <f t="array" ref="B80">IFERROR(_xlfn.TEXTJOIN(CHAR(10),TRUE,IF((TRIM([1]Sheet1!$C$2:$K$5000)=TRIM(A80))*(TRIM([1]Sheet1!$C$2:$K$5000)&lt;&gt;""),TRIM([1]Sheet1!$A$2:$A$5000)&amp;"    "&amp;TRIM([1]Sheet1!$B$2:$B$5000),"")),"")</f>
        <v>我的世界小猫    3.8225</v>
      </c>
    </row>
    <row r="81" ht="40.5" spans="1:2">
      <c r="A81" s="4" t="str">
        <v>907008218334</v>
      </c>
      <c r="B81" s="3" t="str" cm="1">
        <f t="array" ref="B81">IFERROR(_xlfn.TEXTJOIN(CHAR(10),TRUE,IF((TRIM([1]Sheet1!$C$2:$K$5000)=TRIM(A81))*(TRIM([1]Sheet1!$C$2:$K$5000)&lt;&gt;""),TRIM([1]Sheet1!$A$2:$A$5000)&amp;"    "&amp;TRIM([1]Sheet1!$B$2:$B$5000),"")),"")</f>
        <v>我的世界小猫    3.8225</v>
      </c>
    </row>
    <row r="82" ht="40.5" spans="1:2">
      <c r="A82" s="4" t="str">
        <v>907008035506</v>
      </c>
      <c r="B82" s="3" t="str" cm="1">
        <f t="array" ref="B82">IFERROR(_xlfn.TEXTJOIN(CHAR(10),TRUE,IF((TRIM([1]Sheet1!$C$2:$K$5000)=TRIM(A82))*(TRIM([1]Sheet1!$C$2:$K$5000)&lt;&gt;""),TRIM([1]Sheet1!$A$2:$A$5000)&amp;"    "&amp;TRIM([1]Sheet1!$B$2:$B$5000),"")),"")</f>
        <v>我的世界小猫    3.8225</v>
      </c>
    </row>
    <row r="83" ht="40.5" spans="1:2">
      <c r="A83" s="4" t="str">
        <v>911760634644</v>
      </c>
      <c r="B83" s="3" t="str" cm="1">
        <f t="array" ref="B83">IFERROR(_xlfn.TEXTJOIN(CHAR(10),TRUE,IF((TRIM([1]Sheet1!$C$2:$K$5000)=TRIM(A83))*(TRIM([1]Sheet1!$C$2:$K$5000)&lt;&gt;""),TRIM([1]Sheet1!$A$2:$A$5000)&amp;"    "&amp;TRIM([1]Sheet1!$B$2:$B$5000),"")),"")</f>
        <v>我的世界小猫    3.8225</v>
      </c>
    </row>
    <row r="84" ht="391.5" spans="1:2">
      <c r="A84" s="4" t="str">
        <v>901462500400</v>
      </c>
      <c r="B84" s="3" t="str" cm="1">
        <f t="array" ref="B84">IFERROR(_xlfn.TEXTJOIN(CHAR(10),TRUE,IF((TRIM([1]Sheet1!$C$2:$K$5000)=TRIM(A84))*(TRIM([1]Sheet1!$C$2:$K$5000)&lt;&gt;""),TRIM([1]Sheet1!$A$2:$A$5000)&amp;"    "&amp;TRIM([1]Sheet1!$B$2:$B$5000),"")),"")</f>
        <v>对联冰箱贴平安喜乐    7.78646
对联冰箱贴财富加马    5.57139
对联冰箱贴马年大🍊    7.84652
冰箱贴2026马    3.608
冰箱贴马上有钱    4.1085
冰箱贴马到成功    4.35017
冰箱贴立马转运    4.34302
冰箱贴大马    7.04
冰箱贴福    7.04</v>
      </c>
    </row>
    <row r="85" ht="391.5" spans="1:2">
      <c r="A85" s="4" t="str">
        <v>907029760671</v>
      </c>
      <c r="B85" s="3" t="str" cm="1">
        <f t="array" ref="B85">IFERROR(_xlfn.TEXTJOIN(CHAR(10),TRUE,IF((TRIM([1]Sheet1!$C$2:$K$5000)=TRIM(A85))*(TRIM([1]Sheet1!$C$2:$K$5000)&lt;&gt;""),TRIM([1]Sheet1!$A$2:$A$5000)&amp;"    "&amp;TRIM([1]Sheet1!$B$2:$B$5000),"")),"")</f>
        <v>对联冰箱贴平安喜乐    7.78646
对联冰箱贴财富加马    5.57139
对联冰箱贴马年大🍊    7.84652
冰箱贴2026马    3.608
冰箱贴马上有钱    4.1085
冰箱贴马到成功    4.35017
冰箱贴立马转运    4.34302
冰箱贴大马    7.04
冰箱贴福    7.04</v>
      </c>
    </row>
    <row r="86" ht="40.5" spans="1:2">
      <c r="A86" s="4" t="str">
        <v>901811590441</v>
      </c>
      <c r="B86" s="3" t="str" cm="1">
        <f t="array" ref="B86">IFERROR(_xlfn.TEXTJOIN(CHAR(10),TRUE,IF((TRIM([1]Sheet1!$C$2:$K$5000)=TRIM(A86))*(TRIM([1]Sheet1!$C$2:$K$5000)&lt;&gt;""),TRIM([1]Sheet1!$A$2:$A$5000)&amp;"    "&amp;TRIM([1]Sheet1!$B$2:$B$5000),"")),"")</f>
        <v>三角洲刀片服务器    10.89</v>
      </c>
    </row>
    <row r="87" ht="40.5" spans="1:2">
      <c r="A87" s="4" t="str">
        <v>907011147751</v>
      </c>
      <c r="B87" s="3" t="str" cm="1">
        <f t="array" ref="B87">IFERROR(_xlfn.TEXTJOIN(CHAR(10),TRUE,IF((TRIM([1]Sheet1!$C$2:$K$5000)=TRIM(A87))*(TRIM([1]Sheet1!$C$2:$K$5000)&lt;&gt;""),TRIM([1]Sheet1!$A$2:$A$5000)&amp;"    "&amp;TRIM([1]Sheet1!$B$2:$B$5000),"")),"")</f>
        <v>三角洲刀片服务器    10.89</v>
      </c>
    </row>
    <row r="88" ht="40.5" spans="1:2">
      <c r="A88" s="4" t="str">
        <v>909364304892</v>
      </c>
      <c r="B88" s="3" t="str" cm="1">
        <f t="array" ref="B88">IFERROR(_xlfn.TEXTJOIN(CHAR(10),TRUE,IF((TRIM([1]Sheet1!$C$2:$K$5000)=TRIM(A88))*(TRIM([1]Sheet1!$C$2:$K$5000)&lt;&gt;""),TRIM([1]Sheet1!$A$2:$A$5000)&amp;"    "&amp;TRIM([1]Sheet1!$B$2:$B$5000),"")),"")</f>
        <v>三角洲刀片服务器    10.89</v>
      </c>
    </row>
    <row r="89" ht="40.5" spans="1:2">
      <c r="A89" s="4" t="str">
        <v>902306151863</v>
      </c>
      <c r="B89" s="3" t="str" cm="1">
        <f t="array" ref="B89">IFERROR(_xlfn.TEXTJOIN(CHAR(10),TRUE,IF((TRIM([1]Sheet1!$C$2:$K$5000)=TRIM(A89))*(TRIM([1]Sheet1!$C$2:$K$5000)&lt;&gt;""),TRIM([1]Sheet1!$A$2:$A$5000)&amp;"    "&amp;TRIM([1]Sheet1!$B$2:$B$5000),"")),"")</f>
        <v>四色金箍棒    21.95996</v>
      </c>
    </row>
    <row r="90" ht="40.5" spans="1:2">
      <c r="A90" s="4" t="str">
        <v>907029735406</v>
      </c>
      <c r="B90" s="3" t="str" cm="1">
        <f t="array" ref="B90">IFERROR(_xlfn.TEXTJOIN(CHAR(10),TRUE,IF((TRIM([1]Sheet1!$C$2:$K$5000)=TRIM(A90))*(TRIM([1]Sheet1!$C$2:$K$5000)&lt;&gt;""),TRIM([1]Sheet1!$A$2:$A$5000)&amp;"    "&amp;TRIM([1]Sheet1!$B$2:$B$5000),"")),"")</f>
        <v>四色金箍棒    21.95996</v>
      </c>
    </row>
    <row r="91" ht="40.5" spans="1:2">
      <c r="A91" s="4" t="str">
        <v>902320990789</v>
      </c>
      <c r="B91" s="3" t="str" cm="1">
        <f t="array" ref="B91">IFERROR(_xlfn.TEXTJOIN(CHAR(10),TRUE,IF((TRIM([1]Sheet1!$C$2:$K$5000)=TRIM(A91))*(TRIM([1]Sheet1!$C$2:$K$5000)&lt;&gt;""),TRIM([1]Sheet1!$A$2:$A$5000)&amp;"    "&amp;TRIM([1]Sheet1!$B$2:$B$5000),"")),"")</f>
        <v>无畏契约爪子刀    6.05</v>
      </c>
    </row>
    <row r="92" ht="40.5" spans="1:2">
      <c r="A92" s="4" t="str">
        <v>903037756964</v>
      </c>
      <c r="B92" s="3" t="str" cm="1">
        <f t="array" ref="B92">IFERROR(_xlfn.TEXTJOIN(CHAR(10),TRUE,IF((TRIM([1]Sheet1!$C$2:$K$5000)=TRIM(A92))*(TRIM([1]Sheet1!$C$2:$K$5000)&lt;&gt;""),TRIM([1]Sheet1!$A$2:$A$5000)&amp;"    "&amp;TRIM([1]Sheet1!$B$2:$B$5000),"")),"")</f>
        <v>机甲浪人哨兵雕像    6.05</v>
      </c>
    </row>
    <row r="93" ht="40.5" spans="1:2">
      <c r="A93" s="4" t="str">
        <v>907029379496</v>
      </c>
      <c r="B93" s="3" t="str" cm="1">
        <f t="array" ref="B93">IFERROR(_xlfn.TEXTJOIN(CHAR(10),TRUE,IF((TRIM([1]Sheet1!$C$2:$K$5000)=TRIM(A93))*(TRIM([1]Sheet1!$C$2:$K$5000)&lt;&gt;""),TRIM([1]Sheet1!$A$2:$A$5000)&amp;"    "&amp;TRIM([1]Sheet1!$B$2:$B$5000),"")),"")</f>
        <v>机甲浪人哨兵雕像    6.05</v>
      </c>
    </row>
    <row r="94" ht="40.5" spans="1:2">
      <c r="A94" s="4" t="str">
        <v>903033856423</v>
      </c>
      <c r="B94" s="3" t="str" cm="1">
        <f t="array" ref="B94">IFERROR(_xlfn.TEXTJOIN(CHAR(10),TRUE,IF((TRIM([1]Sheet1!$C$2:$K$5000)=TRIM(A94))*(TRIM([1]Sheet1!$C$2:$K$5000)&lt;&gt;""),TRIM([1]Sheet1!$A$2:$A$5000)&amp;"    "&amp;TRIM([1]Sheet1!$B$2:$B$5000),"")),"")</f>
        <v>超梦骨骼宝可梦    6.314</v>
      </c>
    </row>
    <row r="95" ht="40.5" spans="1:2">
      <c r="A95" s="4" t="str">
        <v>907029498022</v>
      </c>
      <c r="B95" s="3" t="str" cm="1">
        <f t="array" ref="B95">IFERROR(_xlfn.TEXTJOIN(CHAR(10),TRUE,IF((TRIM([1]Sheet1!$C$2:$K$5000)=TRIM(A95))*(TRIM([1]Sheet1!$C$2:$K$5000)&lt;&gt;""),TRIM([1]Sheet1!$A$2:$A$5000)&amp;"    "&amp;TRIM([1]Sheet1!$B$2:$B$5000),"")),"")</f>
        <v>超梦骨骼宝可梦    6.314</v>
      </c>
    </row>
    <row r="96" ht="40.5" spans="1:2">
      <c r="A96" s="4" t="str">
        <v>903096456435</v>
      </c>
      <c r="B96" s="3" t="str" cm="1">
        <f t="array" ref="B96">IFERROR(_xlfn.TEXTJOIN(CHAR(10),TRUE,IF((TRIM([1]Sheet1!$C$2:$K$5000)=TRIM(A96))*(TRIM([1]Sheet1!$C$2:$K$5000)&lt;&gt;""),TRIM([1]Sheet1!$A$2:$A$5000)&amp;"    "&amp;TRIM([1]Sheet1!$B$2:$B$5000),"")),"")</f>
        <v>我的世界龙蛋    6.754</v>
      </c>
    </row>
    <row r="97" ht="40.5" spans="1:2">
      <c r="A97" s="4" t="str">
        <v>907029069522</v>
      </c>
      <c r="B97" s="3" t="str" cm="1">
        <f t="array" ref="B97">IFERROR(_xlfn.TEXTJOIN(CHAR(10),TRUE,IF((TRIM([1]Sheet1!$C$2:$K$5000)=TRIM(A97))*(TRIM([1]Sheet1!$C$2:$K$5000)&lt;&gt;""),TRIM([1]Sheet1!$A$2:$A$5000)&amp;"    "&amp;TRIM([1]Sheet1!$B$2:$B$5000),"")),"")</f>
        <v>我的世界龙蛋    6.754</v>
      </c>
    </row>
    <row r="98" ht="40.5" spans="1:2">
      <c r="A98" s="4" t="str">
        <v>903089728507</v>
      </c>
      <c r="B98" s="3" t="str" cm="1">
        <f t="array" ref="B98">IFERROR(_xlfn.TEXTJOIN(CHAR(10),TRUE,IF((TRIM([1]Sheet1!$C$2:$K$5000)=TRIM(A98))*(TRIM([1]Sheet1!$C$2:$K$5000)&lt;&gt;""),TRIM([1]Sheet1!$A$2:$A$5000)&amp;"    "&amp;TRIM([1]Sheet1!$B$2:$B$5000),"")),"")</f>
        <v>暴鲤龙骨骼宝可梦    6.7298</v>
      </c>
    </row>
    <row r="99" ht="40.5" spans="1:2">
      <c r="A99" s="4" t="str">
        <v>907028977445</v>
      </c>
      <c r="B99" s="3" t="str" cm="1">
        <f t="array" ref="B99">IFERROR(_xlfn.TEXTJOIN(CHAR(10),TRUE,IF((TRIM([1]Sheet1!$C$2:$K$5000)=TRIM(A99))*(TRIM([1]Sheet1!$C$2:$K$5000)&lt;&gt;""),TRIM([1]Sheet1!$A$2:$A$5000)&amp;"    "&amp;TRIM([1]Sheet1!$B$2:$B$5000),"")),"")</f>
        <v>暴鲤龙骨骼宝可梦    6.7298</v>
      </c>
    </row>
    <row r="100" ht="40.5" spans="1:2">
      <c r="A100" s="4" t="str">
        <v>903150661406</v>
      </c>
      <c r="B100" s="3" t="str" cm="1">
        <f t="array" ref="B100">IFERROR(_xlfn.TEXTJOIN(CHAR(10),TRUE,IF((TRIM([1]Sheet1!$C$2:$K$5000)=TRIM(A100))*(TRIM([1]Sheet1!$C$2:$K$5000)&lt;&gt;""),TRIM([1]Sheet1!$A$2:$A$5000)&amp;"    "&amp;TRIM([1]Sheet1!$B$2:$B$5000),"")),"")</f>
        <v>菠萝章鱼手雷    8.756</v>
      </c>
    </row>
    <row r="101" ht="40.5" spans="1:2">
      <c r="A101" s="4" t="str">
        <v>907028929087</v>
      </c>
      <c r="B101" s="3" t="str" cm="1">
        <f t="array" ref="B101">IFERROR(_xlfn.TEXTJOIN(CHAR(10),TRUE,IF((TRIM([1]Sheet1!$C$2:$K$5000)=TRIM(A101))*(TRIM([1]Sheet1!$C$2:$K$5000)&lt;&gt;""),TRIM([1]Sheet1!$A$2:$A$5000)&amp;"    "&amp;TRIM([1]Sheet1!$B$2:$B$5000),"")),"")</f>
        <v>菠萝章鱼手雷    8.756</v>
      </c>
    </row>
    <row r="102" ht="108" spans="1:2">
      <c r="A102" s="4" t="str">
        <v>903366679461</v>
      </c>
      <c r="B102" s="3" t="str" cm="1">
        <f t="array" ref="B102">IFERROR(_xlfn.TEXTJOIN(CHAR(10),TRUE,IF((TRIM([1]Sheet1!$C$2:$K$5000)=TRIM(A102))*(TRIM([1]Sheet1!$C$2:$K$5000)&lt;&gt;""),TRIM([1]Sheet1!$A$2:$A$5000)&amp;"    "&amp;TRIM([1]Sheet1!$B$2:$B$5000),"")),"")</f>
        <v>三角洲金图纸普通版    4.9665
三角洲金图纸完美复刻版    6.5395</v>
      </c>
    </row>
    <row r="103" ht="108" spans="1:2">
      <c r="A103" s="4" t="str">
        <v>903366002339</v>
      </c>
      <c r="B103" s="3" t="str" cm="1">
        <f t="array" ref="B103">IFERROR(_xlfn.TEXTJOIN(CHAR(10),TRUE,IF((TRIM([1]Sheet1!$C$2:$K$5000)=TRIM(A103))*(TRIM([1]Sheet1!$C$2:$K$5000)&lt;&gt;""),TRIM([1]Sheet1!$A$2:$A$5000)&amp;"    "&amp;TRIM([1]Sheet1!$B$2:$B$5000),"")),"")</f>
        <v>三角洲金图纸普通版    4.9665
三角洲金图纸完美复刻版    6.5395</v>
      </c>
    </row>
    <row r="104" ht="108" spans="1:2">
      <c r="A104" s="4" t="str">
        <v>907029509109</v>
      </c>
      <c r="B104" s="3" t="str" cm="1">
        <f t="array" ref="B104">IFERROR(_xlfn.TEXTJOIN(CHAR(10),TRUE,IF((TRIM([1]Sheet1!$C$2:$K$5000)=TRIM(A104))*(TRIM([1]Sheet1!$C$2:$K$5000)&lt;&gt;""),TRIM([1]Sheet1!$A$2:$A$5000)&amp;"    "&amp;TRIM([1]Sheet1!$B$2:$B$5000),"")),"")</f>
        <v>三角洲金图纸普通版    4.9665
三角洲金图纸完美复刻版    6.5395</v>
      </c>
    </row>
    <row r="105" ht="108" spans="1:2">
      <c r="A105" s="4" t="str">
        <v>907028988363</v>
      </c>
      <c r="B105" s="3" t="str" cm="1">
        <f t="array" ref="B105">IFERROR(_xlfn.TEXTJOIN(CHAR(10),TRUE,IF((TRIM([1]Sheet1!$C$2:$K$5000)=TRIM(A105))*(TRIM([1]Sheet1!$C$2:$K$5000)&lt;&gt;""),TRIM([1]Sheet1!$A$2:$A$5000)&amp;"    "&amp;TRIM([1]Sheet1!$B$2:$B$5000),"")),"")</f>
        <v>三角洲金图纸普通版    4.9665
三角洲金图纸完美复刻版    6.5395</v>
      </c>
    </row>
    <row r="106" ht="108" spans="1:2">
      <c r="A106" s="4" t="str">
        <v>909394914009</v>
      </c>
      <c r="B106" s="3" t="str" cm="1">
        <f t="array" ref="B106">IFERROR(_xlfn.TEXTJOIN(CHAR(10),TRUE,IF((TRIM([1]Sheet1!$C$2:$K$5000)=TRIM(A106))*(TRIM([1]Sheet1!$C$2:$K$5000)&lt;&gt;""),TRIM([1]Sheet1!$A$2:$A$5000)&amp;"    "&amp;TRIM([1]Sheet1!$B$2:$B$5000),"")),"")</f>
        <v>三角洲金图纸普通版    4.9665
三角洲金图纸完美复刻版    6.5395</v>
      </c>
    </row>
    <row r="107" ht="121.5" spans="1:2">
      <c r="A107" s="4" t="str">
        <v>903741820033</v>
      </c>
      <c r="B107" s="3" t="str" cm="1">
        <f t="array" ref="B107">IFERROR(_xlfn.TEXTJOIN(CHAR(10),TRUE,IF((TRIM([1]Sheet1!$C$2:$K$5000)=TRIM(A107))*(TRIM([1]Sheet1!$C$2:$K$5000)&lt;&gt;""),TRIM([1]Sheet1!$A$2:$A$5000)&amp;"    "&amp;TRIM([1]Sheet1!$B$2:$B$5000),"")),"")</f>
        <v>阿凡达斑溪兽飞行翼龙大    17.325
阿凡达斑溪兽飞行翼龙大底座    6.05</v>
      </c>
    </row>
    <row r="108" ht="121.5" spans="1:2">
      <c r="A108" s="4" t="str">
        <v>907029248106</v>
      </c>
      <c r="B108" s="3" t="str" cm="1">
        <f t="array" ref="B108">IFERROR(_xlfn.TEXTJOIN(CHAR(10),TRUE,IF((TRIM([1]Sheet1!$C$2:$K$5000)=TRIM(A108))*(TRIM([1]Sheet1!$C$2:$K$5000)&lt;&gt;""),TRIM([1]Sheet1!$A$2:$A$5000)&amp;"    "&amp;TRIM([1]Sheet1!$B$2:$B$5000),"")),"")</f>
        <v>阿凡达斑溪兽飞行翼龙大    17.325
阿凡达斑溪兽飞行翼龙大底座    6.05</v>
      </c>
    </row>
    <row r="109" ht="162" spans="1:2">
      <c r="A109" s="4" t="str">
        <v>903454747958</v>
      </c>
      <c r="B109" s="3" t="str" cm="1">
        <f t="array" ref="B109">IFERROR(_xlfn.TEXTJOIN(CHAR(10),TRUE,IF((TRIM([1]Sheet1!$C$2:$K$5000)=TRIM(A109))*(TRIM([1]Sheet1!$C$2:$K$5000)&lt;&gt;""),TRIM([1]Sheet1!$A$2:$A$5000)&amp;"    "&amp;TRIM([1]Sheet1!$B$2:$B$5000),"")),"")</f>
        <v>月亮来了不带环绒毛表面    9.35
月亮来了不带环光滑表面    12.65
月亮来了带环光滑表面    17.93</v>
      </c>
    </row>
    <row r="110" ht="162" spans="1:2">
      <c r="A110" s="4" t="str">
        <v>906605455128</v>
      </c>
      <c r="B110" s="3" t="str" cm="1">
        <f t="array" ref="B110">IFERROR(_xlfn.TEXTJOIN(CHAR(10),TRUE,IF((TRIM([1]Sheet1!$C$2:$K$5000)=TRIM(A110))*(TRIM([1]Sheet1!$C$2:$K$5000)&lt;&gt;""),TRIM([1]Sheet1!$A$2:$A$5000)&amp;"    "&amp;TRIM([1]Sheet1!$B$2:$B$5000),"")),"")</f>
        <v>月亮来了不带环绒毛表面    9.35
月亮来了不带环光滑表面    12.65
月亮来了带环光滑表面    17.93</v>
      </c>
    </row>
    <row r="111" ht="162" spans="1:2">
      <c r="A111" s="4" t="str">
        <v>910876641470</v>
      </c>
      <c r="B111" s="3" t="str" cm="1">
        <f t="array" ref="B111">IFERROR(_xlfn.TEXTJOIN(CHAR(10),TRUE,IF((TRIM([1]Sheet1!$C$2:$K$5000)=TRIM(A111))*(TRIM([1]Sheet1!$C$2:$K$5000)&lt;&gt;""),TRIM([1]Sheet1!$A$2:$A$5000)&amp;"    "&amp;TRIM([1]Sheet1!$B$2:$B$5000),"")),"")</f>
        <v>月亮来了不带环绒毛表面    9.35
月亮来了不带环光滑表面    12.65
月亮来了带环光滑表面    17.93</v>
      </c>
    </row>
    <row r="112" ht="40.5" spans="1:2">
      <c r="A112" s="4" t="str">
        <v>904094932367</v>
      </c>
      <c r="B112" s="3" t="str" cm="1">
        <f t="array" ref="B112">IFERROR(_xlfn.TEXTJOIN(CHAR(10),TRUE,IF((TRIM([1]Sheet1!$C$2:$K$5000)=TRIM(A112))*(TRIM([1]Sheet1!$C$2:$K$5000)&lt;&gt;""),TRIM([1]Sheet1!$A$2:$A$5000)&amp;"    "&amp;TRIM([1]Sheet1!$B$2:$B$5000),"")),"")</f>
        <v>王权富贵发冠    6.182</v>
      </c>
    </row>
    <row r="113" ht="40.5" spans="1:2">
      <c r="A113" s="4" t="str">
        <v>907029472680</v>
      </c>
      <c r="B113" s="3" t="str" cm="1">
        <f t="array" ref="B113">IFERROR(_xlfn.TEXTJOIN(CHAR(10),TRUE,IF((TRIM([1]Sheet1!$C$2:$K$5000)=TRIM(A113))*(TRIM([1]Sheet1!$C$2:$K$5000)&lt;&gt;""),TRIM([1]Sheet1!$A$2:$A$5000)&amp;"    "&amp;TRIM([1]Sheet1!$B$2:$B$5000),"")),"")</f>
        <v>王权富贵发冠    6.182</v>
      </c>
    </row>
    <row r="114" ht="54" spans="1:2">
      <c r="A114" s="4" t="str">
        <v>904361506882</v>
      </c>
      <c r="B114" s="3" t="str" cm="1">
        <f t="array" ref="B114">IFERROR(_xlfn.TEXTJOIN(CHAR(10),TRUE,IF((TRIM([1]Sheet1!$C$2:$K$5000)=TRIM(A114))*(TRIM([1]Sheet1!$C$2:$K$5000)&lt;&gt;""),TRIM([1]Sheet1!$A$2:$A$5000)&amp;"    "&amp;TRIM([1]Sheet1!$B$2:$B$5000),"")),"")</f>
        <v>以德服人 以德斧人 斧子    9.086</v>
      </c>
    </row>
    <row r="115" ht="54" spans="1:2">
      <c r="A115" s="4" t="str">
        <v>907028714348</v>
      </c>
      <c r="B115" s="3" t="str" cm="1">
        <f t="array" ref="B115">IFERROR(_xlfn.TEXTJOIN(CHAR(10),TRUE,IF((TRIM([1]Sheet1!$C$2:$K$5000)=TRIM(A115))*(TRIM([1]Sheet1!$C$2:$K$5000)&lt;&gt;""),TRIM([1]Sheet1!$A$2:$A$5000)&amp;"    "&amp;TRIM([1]Sheet1!$B$2:$B$5000),"")),"")</f>
        <v>以德服人 以德斧人 斧子    9.086</v>
      </c>
    </row>
    <row r="116" ht="54" spans="1:2">
      <c r="A116" s="4" t="str">
        <v>910867614472</v>
      </c>
      <c r="B116" s="3" t="str" cm="1">
        <f t="array" ref="B116">IFERROR(_xlfn.TEXTJOIN(CHAR(10),TRUE,IF((TRIM([1]Sheet1!$C$2:$K$5000)=TRIM(A116))*(TRIM([1]Sheet1!$C$2:$K$5000)&lt;&gt;""),TRIM([1]Sheet1!$A$2:$A$5000)&amp;"    "&amp;TRIM([1]Sheet1!$B$2:$B$5000),"")),"")</f>
        <v>以德服人 以德斧人 斧子    9.086</v>
      </c>
    </row>
    <row r="117" ht="40.5" spans="1:2">
      <c r="A117" s="4" t="str">
        <v>907029496599</v>
      </c>
      <c r="B117" s="3" t="str" cm="1">
        <f t="array" ref="B117">IFERROR(_xlfn.TEXTJOIN(CHAR(10),TRUE,IF((TRIM([1]Sheet1!$C$2:$K$5000)=TRIM(A117))*(TRIM([1]Sheet1!$C$2:$K$5000)&lt;&gt;""),TRIM([1]Sheet1!$A$2:$A$5000)&amp;"    "&amp;TRIM([1]Sheet1!$B$2:$B$5000),"")),"")</f>
        <v>三角洲量子储存    4.1558</v>
      </c>
    </row>
    <row r="118" ht="40.5" spans="1:2">
      <c r="A118" s="4" t="str">
        <v>907028904397</v>
      </c>
      <c r="B118" s="3" t="str" cm="1">
        <f t="array" ref="B118">IFERROR(_xlfn.TEXTJOIN(CHAR(10),TRUE,IF((TRIM([1]Sheet1!$C$2:$K$5000)=TRIM(A118))*(TRIM([1]Sheet1!$C$2:$K$5000)&lt;&gt;""),TRIM([1]Sheet1!$A$2:$A$5000)&amp;"    "&amp;TRIM([1]Sheet1!$B$2:$B$5000),"")),"")</f>
        <v>三角洲量子储存    4.1558</v>
      </c>
    </row>
    <row r="119" ht="54" spans="1:2">
      <c r="A119" s="4" t="str">
        <v>904608571345</v>
      </c>
      <c r="B119" s="3" t="str" cm="1">
        <f t="array" ref="B119">IFERROR(_xlfn.TEXTJOIN(CHAR(10),TRUE,IF((TRIM([1]Sheet1!$C$2:$K$5000)=TRIM(A119))*(TRIM([1]Sheet1!$C$2:$K$5000)&lt;&gt;""),TRIM([1]Sheet1!$A$2:$A$5000)&amp;"    "&amp;TRIM([1]Sheet1!$B$2:$B$5000),"")),"")</f>
        <v>三角洲信条粉色30cm    20.4776</v>
      </c>
    </row>
    <row r="120" ht="54" spans="1:2">
      <c r="A120" s="4" t="str">
        <v>907029330249</v>
      </c>
      <c r="B120" s="3" t="str" cm="1">
        <f t="array" ref="B120">IFERROR(_xlfn.TEXTJOIN(CHAR(10),TRUE,IF((TRIM([1]Sheet1!$C$2:$K$5000)=TRIM(A120))*(TRIM([1]Sheet1!$C$2:$K$5000)&lt;&gt;""),TRIM([1]Sheet1!$A$2:$A$5000)&amp;"    "&amp;TRIM([1]Sheet1!$B$2:$B$5000),"")),"")</f>
        <v>三角洲信条粉色30cm    20.4776</v>
      </c>
    </row>
    <row r="121" ht="54" spans="1:2">
      <c r="A121" s="4" t="str">
        <v>909428128352</v>
      </c>
      <c r="B121" s="3" t="str" cm="1">
        <f t="array" ref="B121">IFERROR(_xlfn.TEXTJOIN(CHAR(10),TRUE,IF((TRIM([1]Sheet1!$C$2:$K$5000)=TRIM(A121))*(TRIM([1]Sheet1!$C$2:$K$5000)&lt;&gt;""),TRIM([1]Sheet1!$A$2:$A$5000)&amp;"    "&amp;TRIM([1]Sheet1!$B$2:$B$5000),"")),"")</f>
        <v>三角洲信条粉色30cm    20.4776</v>
      </c>
    </row>
    <row r="122" ht="108" spans="1:2">
      <c r="A122" s="4" t="str">
        <v>905050011734</v>
      </c>
      <c r="B122" s="3" t="str" cm="1">
        <f t="array" ref="B122">IFERROR(_xlfn.TEXTJOIN(CHAR(10),TRUE,IF((TRIM([1]Sheet1!$C$2:$K$5000)=TRIM(A122))*(TRIM([1]Sheet1!$C$2:$K$5000)&lt;&gt;""),TRIM([1]Sheet1!$A$2:$A$5000)&amp;"    "&amp;TRIM([1]Sheet1!$B$2:$B$5000),"")),"")</f>
        <v>刻律德菈棋子国王蓝    9.218
刻律德菈棋子王后金    7.238</v>
      </c>
    </row>
    <row r="123" ht="108" spans="1:2">
      <c r="A123" s="4" t="str">
        <v>907029378116</v>
      </c>
      <c r="B123" s="3" t="str" cm="1">
        <f t="array" ref="B123">IFERROR(_xlfn.TEXTJOIN(CHAR(10),TRUE,IF((TRIM([1]Sheet1!$C$2:$K$5000)=TRIM(A123))*(TRIM([1]Sheet1!$C$2:$K$5000)&lt;&gt;""),TRIM([1]Sheet1!$A$2:$A$5000)&amp;"    "&amp;TRIM([1]Sheet1!$B$2:$B$5000),"")),"")</f>
        <v>刻律德菈棋子国王蓝    9.218
刻律德菈棋子王后金    7.238</v>
      </c>
    </row>
    <row r="124" ht="40.5" spans="1:2">
      <c r="A124" s="4" t="str">
        <v>905032516836</v>
      </c>
      <c r="B124" s="3" t="str" cm="1">
        <f t="array" ref="B124">IFERROR(_xlfn.TEXTJOIN(CHAR(10),TRUE,IF((TRIM([1]Sheet1!$C$2:$K$5000)=TRIM(A124))*(TRIM([1]Sheet1!$C$2:$K$5000)&lt;&gt;""),TRIM([1]Sheet1!$A$2:$A$5000)&amp;"    "&amp;TRIM([1]Sheet1!$B$2:$B$5000),"")),"")</f>
        <v>超级马里奥骨架    7.11656</v>
      </c>
    </row>
    <row r="125" ht="40.5" spans="1:2">
      <c r="A125" s="4" t="str">
        <v>907028986856</v>
      </c>
      <c r="B125" s="3" t="str" cm="1">
        <f t="array" ref="B125">IFERROR(_xlfn.TEXTJOIN(CHAR(10),TRUE,IF((TRIM([1]Sheet1!$C$2:$K$5000)=TRIM(A125))*(TRIM([1]Sheet1!$C$2:$K$5000)&lt;&gt;""),TRIM([1]Sheet1!$A$2:$A$5000)&amp;"    "&amp;TRIM([1]Sheet1!$B$2:$B$5000),"")),"")</f>
        <v>超级马里奥骨架    7.11656</v>
      </c>
    </row>
    <row r="126" ht="67.5" spans="1:2">
      <c r="A126" s="4" t="str">
        <v>905349427645</v>
      </c>
      <c r="B126" s="3" t="str" cm="1">
        <f t="array" ref="B126">IFERROR(_xlfn.TEXTJOIN(CHAR(10),TRUE,IF((TRIM([1]Sheet1!$C$2:$K$5000)=TRIM(A126))*(TRIM([1]Sheet1!$C$2:$K$5000)&lt;&gt;""),TRIM([1]Sheet1!$A$2:$A$5000)&amp;"    "&amp;TRIM([1]Sheet1!$B$2:$B$5000),"")),"")</f>
        <v>换挡解压玩具 V2 - 齿轮换挡    9.54811</v>
      </c>
    </row>
    <row r="127" ht="67.5" spans="1:2">
      <c r="A127" s="4" t="str">
        <v>907029544438</v>
      </c>
      <c r="B127" s="3" t="str" cm="1">
        <f t="array" ref="B127">IFERROR(_xlfn.TEXTJOIN(CHAR(10),TRUE,IF((TRIM([1]Sheet1!$C$2:$K$5000)=TRIM(A127))*(TRIM([1]Sheet1!$C$2:$K$5000)&lt;&gt;""),TRIM([1]Sheet1!$A$2:$A$5000)&amp;"    "&amp;TRIM([1]Sheet1!$B$2:$B$5000),"")),"")</f>
        <v>换挡解压玩具 V2 - 齿轮换挡    9.54811</v>
      </c>
    </row>
    <row r="128" ht="40.5" spans="1:2">
      <c r="A128" s="4" t="str">
        <v>906425066615</v>
      </c>
      <c r="B128" s="3" t="str" cm="1">
        <f t="array" ref="B128">IFERROR(_xlfn.TEXTJOIN(CHAR(10),TRUE,IF((TRIM([1]Sheet1!$C$2:$K$5000)=TRIM(A128))*(TRIM([1]Sheet1!$C$2:$K$5000)&lt;&gt;""),TRIM([1]Sheet1!$A$2:$A$5000)&amp;"    "&amp;TRIM([1]Sheet1!$B$2:$B$5000),"")),"")</f>
        <v>一个亿 小目标    12.76</v>
      </c>
    </row>
    <row r="129" ht="40.5" spans="1:2">
      <c r="A129" s="4" t="str">
        <v>907029354699</v>
      </c>
      <c r="B129" s="3" t="str" cm="1">
        <f t="array" ref="B129">IFERROR(_xlfn.TEXTJOIN(CHAR(10),TRUE,IF((TRIM([1]Sheet1!$C$2:$K$5000)=TRIM(A129))*(TRIM([1]Sheet1!$C$2:$K$5000)&lt;&gt;""),TRIM([1]Sheet1!$A$2:$A$5000)&amp;"    "&amp;TRIM([1]Sheet1!$B$2:$B$5000),"")),"")</f>
        <v>一个亿 小目标    12.76</v>
      </c>
    </row>
    <row r="130" ht="216" spans="1:2">
      <c r="A130" s="4" t="str">
        <v>907083260921</v>
      </c>
      <c r="B130" s="3" t="str" cm="1">
        <f t="array" ref="B130">IFERROR(_xlfn.TEXTJOIN(CHAR(10),TRUE,IF((TRIM([1]Sheet1!$C$2:$K$5000)=TRIM(A130))*(TRIM([1]Sheet1!$C$2:$K$5000)&lt;&gt;""),TRIM([1]Sheet1!$A$2:$A$5000)&amp;"    "&amp;TRIM([1]Sheet1!$B$2:$B$5000),"")),"")</f>
        <v>海洋动物水龙    10.615
海洋动物蛇颈龙    12.386
海洋动物大鲸鱼    10.615
海洋动物大嘴鲨鱼    8.91044
海洋动物红嘴大嘴鲨鱼    8.91044</v>
      </c>
    </row>
    <row r="131" ht="94.5" spans="1:2">
      <c r="A131" s="4" t="str">
        <v>907092422252</v>
      </c>
      <c r="B131" s="3" t="str" cm="1">
        <f t="array" ref="B131">IFERROR(_xlfn.TEXTJOIN(CHAR(10),TRUE,IF((TRIM([1]Sheet1!$C$2:$K$5000)=TRIM(A131))*(TRIM([1]Sheet1!$C$2:$K$5000)&lt;&gt;""),TRIM([1]Sheet1!$A$2:$A$5000)&amp;"    "&amp;TRIM([1]Sheet1!$B$2:$B$5000),"")),"")</f>
        <v>海洋动物大嘴鲨鱼    8.91044
海洋动物红嘴大嘴鲨鱼    8.91044</v>
      </c>
    </row>
    <row r="132" ht="283.5" spans="1:2">
      <c r="A132" s="4" t="str">
        <v>908654566735</v>
      </c>
      <c r="B132" s="3" t="str" cm="1">
        <f t="array" ref="B132">IFERROR(_xlfn.TEXTJOIN(CHAR(10),TRUE,IF((TRIM([1]Sheet1!$C$2:$K$5000)=TRIM(A132))*(TRIM([1]Sheet1!$C$2:$K$5000)&lt;&gt;""),TRIM([1]Sheet1!$A$2:$A$5000)&amp;"    "&amp;TRIM([1]Sheet1!$B$2:$B$5000),"")),"")</f>
        <v>黏土小人绿色    4.4396
黏土小人橙色    4.4396
黏土小人浅蓝色    4.2284
黏土小人粉色    4.598
黏土小人深蓝色    4.994
黏土小人灰色    4.07
黏土小人六件套    13.0196</v>
      </c>
    </row>
    <row r="133" ht="283.5" spans="1:2">
      <c r="A133" s="4" t="str">
        <v>910995472702</v>
      </c>
      <c r="B133" s="3" t="str" cm="1">
        <f t="array" ref="B133">IFERROR(_xlfn.TEXTJOIN(CHAR(10),TRUE,IF((TRIM([1]Sheet1!$C$2:$K$5000)=TRIM(A133))*(TRIM([1]Sheet1!$C$2:$K$5000)&lt;&gt;""),TRIM([1]Sheet1!$A$2:$A$5000)&amp;"    "&amp;TRIM([1]Sheet1!$B$2:$B$5000),"")),"")</f>
        <v>黏土小人绿色    4.4396
黏土小人橙色    4.4396
黏土小人浅蓝色    4.2284
黏土小人粉色    4.598
黏土小人深蓝色    4.994
黏土小人灰色    4.07
黏土小人六件套    13.0196</v>
      </c>
    </row>
    <row r="134" ht="40.5" spans="1:2">
      <c r="A134" s="4" t="str">
        <v>908814536252</v>
      </c>
      <c r="B134" s="3" t="str" cm="1">
        <f t="array" ref="B134">IFERROR(_xlfn.TEXTJOIN(CHAR(10),TRUE,IF((TRIM([1]Sheet1!$C$2:$K$5000)=TRIM(A134))*(TRIM([1]Sheet1!$C$2:$K$5000)&lt;&gt;""),TRIM([1]Sheet1!$A$2:$A$5000)&amp;"    "&amp;TRIM([1]Sheet1!$B$2:$B$5000),"")),"")</f>
        <v>多色小美人鱼    4.51605</v>
      </c>
    </row>
    <row r="135" ht="27" spans="1:2">
      <c r="A135" s="4" t="str">
        <v>908848832088</v>
      </c>
      <c r="B135" s="3" t="str" cm="1">
        <f t="array" ref="B135">IFERROR(_xlfn.TEXTJOIN(CHAR(10),TRUE,IF((TRIM([1]Sheet1!$C$2:$K$5000)=TRIM(A135))*(TRIM([1]Sheet1!$C$2:$K$5000)&lt;&gt;""),TRIM([1]Sheet1!$A$2:$A$5000)&amp;"    "&amp;TRIM([1]Sheet1!$B$2:$B$5000),"")),"")</f>
        <v>气球狗    4.532</v>
      </c>
    </row>
    <row r="136" ht="297" spans="1:2">
      <c r="A136" s="4" t="str">
        <v>909527595807</v>
      </c>
      <c r="B136" s="3" t="str" cm="1">
        <f t="array" ref="B136">IFERROR(_xlfn.TEXTJOIN(CHAR(10),TRUE,IF((TRIM([1]Sheet1!$C$2:$K$5000)=TRIM(A136))*(TRIM([1]Sheet1!$C$2:$K$5000)&lt;&gt;""),TRIM([1]Sheet1!$A$2:$A$5000)&amp;"    "&amp;TRIM([1]Sheet1!$B$2:$B$5000),"")),"")</f>
        <v>苹果拼豆笔    3.806
桃子拼豆笔    3.806
菠萝拼豆笔    4.07
葡萄拼豆笔    3.9116
西瓜拼豆笔    3.9116
梨子拼豆笔    3.7268
水果系列全套拼豆笔    9.482</v>
      </c>
    </row>
    <row r="137" ht="297" spans="1:2">
      <c r="A137" s="4" t="str">
        <v>910995269673</v>
      </c>
      <c r="B137" s="3" t="str" cm="1">
        <f t="array" ref="B137">IFERROR(_xlfn.TEXTJOIN(CHAR(10),TRUE,IF((TRIM([1]Sheet1!$C$2:$K$5000)=TRIM(A137))*(TRIM([1]Sheet1!$C$2:$K$5000)&lt;&gt;""),TRIM([1]Sheet1!$A$2:$A$5000)&amp;"    "&amp;TRIM([1]Sheet1!$B$2:$B$5000),"")),"")</f>
        <v>苹果拼豆笔    3.806
桃子拼豆笔    3.806
菠萝拼豆笔    4.07
葡萄拼豆笔    3.9116
西瓜拼豆笔    3.9116
梨子拼豆笔    3.7268
水果系列全套拼豆笔    9.482</v>
      </c>
    </row>
    <row r="138" ht="297" spans="1:2">
      <c r="A138" s="4" t="str">
        <v>909566108573</v>
      </c>
      <c r="B138" s="3" t="str" cm="1">
        <f t="array" ref="B138">IFERROR(_xlfn.TEXTJOIN(CHAR(10),TRUE,IF((TRIM([1]Sheet1!$C$2:$K$5000)=TRIM(A138))*(TRIM([1]Sheet1!$C$2:$K$5000)&lt;&gt;""),TRIM([1]Sheet1!$A$2:$A$5000)&amp;"    "&amp;TRIM([1]Sheet1!$B$2:$B$5000),"")),"")</f>
        <v>苹果拼豆笔    3.806
桃子拼豆笔    3.806
菠萝拼豆笔    4.07
葡萄拼豆笔    3.9116
西瓜拼豆笔    3.9116
梨子拼豆笔    3.7268
水果系列全套拼豆笔    9.482</v>
      </c>
    </row>
    <row r="139" ht="40.5" spans="1:2">
      <c r="A139" s="4" t="str">
        <v>910892877885</v>
      </c>
      <c r="B139" s="3" t="str" cm="1">
        <f t="array" ref="B139">IFERROR(_xlfn.TEXTJOIN(CHAR(10),TRUE,IF((TRIM([1]Sheet1!$C$2:$K$5000)=TRIM(A139))*(TRIM([1]Sheet1!$C$2:$K$5000)&lt;&gt;""),TRIM([1]Sheet1!$A$2:$A$5000)&amp;"    "&amp;TRIM([1]Sheet1!$B$2:$B$5000),"")),"")</f>
        <v>幻彩流光马头摆件    4.862</v>
      </c>
    </row>
    <row r="140" ht="40.5" spans="1:2">
      <c r="A140" s="4" t="str">
        <v>910994654668</v>
      </c>
      <c r="B140" s="3" t="str" cm="1">
        <f t="array" ref="B140">IFERROR(_xlfn.TEXTJOIN(CHAR(10),TRUE,IF((TRIM([1]Sheet1!$C$2:$K$5000)=TRIM(A140))*(TRIM([1]Sheet1!$C$2:$K$5000)&lt;&gt;""),TRIM([1]Sheet1!$A$2:$A$5000)&amp;"    "&amp;TRIM([1]Sheet1!$B$2:$B$5000),"")),"")</f>
        <v>幻彩流光马头摆件    4.862</v>
      </c>
    </row>
    <row r="141" ht="27" spans="1:2">
      <c r="A141" s="4" t="str">
        <v>909580849368</v>
      </c>
      <c r="B141" s="3" t="str" cm="1">
        <f t="array" ref="B141">IFERROR(_xlfn.TEXTJOIN(CHAR(10),TRUE,IF((TRIM([1]Sheet1!$C$2:$K$5000)=TRIM(A141))*(TRIM([1]Sheet1!$C$2:$K$5000)&lt;&gt;""),TRIM([1]Sheet1!$A$2:$A$5000)&amp;"    "&amp;TRIM([1]Sheet1!$B$2:$B$5000),"")),"")</f>
        <v>手机握把    4.6772</v>
      </c>
    </row>
    <row r="142" ht="27" spans="1:2">
      <c r="A142" s="4" t="str">
        <v>910995292702</v>
      </c>
      <c r="B142" s="3" t="str" cm="1">
        <f t="array" ref="B142">IFERROR(_xlfn.TEXTJOIN(CHAR(10),TRUE,IF((TRIM([1]Sheet1!$C$2:$K$5000)=TRIM(A142))*(TRIM([1]Sheet1!$C$2:$K$5000)&lt;&gt;""),TRIM([1]Sheet1!$A$2:$A$5000)&amp;"    "&amp;TRIM([1]Sheet1!$B$2:$B$5000),"")),"")</f>
        <v>手机握把    4.6772</v>
      </c>
    </row>
    <row r="143" ht="27" spans="1:2">
      <c r="A143" s="4" t="str">
        <v>911034162673</v>
      </c>
      <c r="B143" s="3" t="str" cm="1">
        <f t="array" ref="B143">IFERROR(_xlfn.TEXTJOIN(CHAR(10),TRUE,IF((TRIM([1]Sheet1!$C$2:$K$5000)=TRIM(A143))*(TRIM([1]Sheet1!$C$2:$K$5000)&lt;&gt;""),TRIM([1]Sheet1!$A$2:$A$5000)&amp;"    "&amp;TRIM([1]Sheet1!$B$2:$B$5000),"")),"")</f>
        <v>手机握把    4.6772</v>
      </c>
    </row>
    <row r="144" ht="27" spans="1:2">
      <c r="A144" s="4" t="str">
        <v>910999856422</v>
      </c>
      <c r="B144" s="3" t="str" cm="1">
        <f t="array" ref="B144">IFERROR(_xlfn.TEXTJOIN(CHAR(10),TRUE,IF((TRIM([1]Sheet1!$C$2:$K$5000)=TRIM(A144))*(TRIM([1]Sheet1!$C$2:$K$5000)&lt;&gt;""),TRIM([1]Sheet1!$A$2:$A$5000)&amp;"    "&amp;TRIM([1]Sheet1!$B$2:$B$5000),"")),"")</f>
        <v>鹰哨    4.334</v>
      </c>
    </row>
    <row r="145" ht="27" spans="1:2">
      <c r="A145" s="4" t="str">
        <v>911740728942</v>
      </c>
      <c r="B145" s="3" t="str" cm="1">
        <f t="array" ref="B145">IFERROR(_xlfn.TEXTJOIN(CHAR(10),TRUE,IF((TRIM([1]Sheet1!$C$2:$K$5000)=TRIM(A145))*(TRIM([1]Sheet1!$C$2:$K$5000)&lt;&gt;""),TRIM([1]Sheet1!$A$2:$A$5000)&amp;"    "&amp;TRIM([1]Sheet1!$B$2:$B$5000),"")),"")</f>
        <v>鹰哨    4.334</v>
      </c>
    </row>
    <row r="146" ht="27" spans="1:2">
      <c r="A146" s="4" t="str">
        <v>910993471752</v>
      </c>
      <c r="B146" s="3" t="str" cm="1">
        <f t="array" ref="B146">IFERROR(_xlfn.TEXTJOIN(CHAR(10),TRUE,IF((TRIM([1]Sheet1!$C$2:$K$5000)=TRIM(A146))*(TRIM([1]Sheet1!$C$2:$K$5000)&lt;&gt;""),TRIM([1]Sheet1!$A$2:$A$5000)&amp;"    "&amp;TRIM([1]Sheet1!$B$2:$B$5000),"")),"")</f>
        <v>糖果笔筒    6.05</v>
      </c>
    </row>
    <row r="147" ht="27" spans="1:2">
      <c r="A147" s="4" t="str">
        <v>911006216743</v>
      </c>
      <c r="B147" s="3" t="str" cm="1">
        <f t="array" ref="B147">IFERROR(_xlfn.TEXTJOIN(CHAR(10),TRUE,IF((TRIM([1]Sheet1!$C$2:$K$5000)=TRIM(A147))*(TRIM([1]Sheet1!$C$2:$K$5000)&lt;&gt;""),TRIM([1]Sheet1!$A$2:$A$5000)&amp;"    "&amp;TRIM([1]Sheet1!$B$2:$B$5000),"")),"")</f>
        <v>糖果笔筒    6.05</v>
      </c>
    </row>
    <row r="148" ht="81" spans="1:2">
      <c r="A148" s="4" t="str">
        <v>913151683317</v>
      </c>
      <c r="B148" s="3" t="str" cm="1">
        <f t="array" ref="B148">IFERROR(_xlfn.TEXTJOIN(CHAR(10),TRUE,IF((TRIM([1]Sheet1!$C$2:$K$5000)=TRIM(A148))*(TRIM([1]Sheet1!$C$2:$K$5000)&lt;&gt;""),TRIM([1]Sheet1!$A$2:$A$5000)&amp;"    "&amp;TRIM([1]Sheet1!$B$2:$B$5000),"")),"")</f>
        <v>我的世界恶魂大    6.611
我的世界恶魂小    3.751</v>
      </c>
    </row>
    <row r="149" ht="40.5" spans="1:2">
      <c r="A149" s="4" t="str">
        <v>913740661903</v>
      </c>
      <c r="B149" s="3" t="str" cm="1">
        <f t="array" ref="B149">IFERROR(_xlfn.TEXTJOIN(CHAR(10),TRUE,IF((TRIM([1]Sheet1!$C$2:$K$5000)=TRIM(A149))*(TRIM([1]Sheet1!$C$2:$K$5000)&lt;&gt;""),TRIM([1]Sheet1!$A$2:$A$5000)&amp;"    "&amp;TRIM([1]Sheet1!$B$2:$B$5000),"")),"")</f>
        <v>扭扭解压龙蛋    13.97</v>
      </c>
    </row>
    <row r="150" ht="40.5" spans="1:2">
      <c r="A150" s="4" t="str">
        <v>913829645903</v>
      </c>
      <c r="B150" s="3" t="str" cm="1">
        <f t="array" ref="B150">IFERROR(_xlfn.TEXTJOIN(CHAR(10),TRUE,IF((TRIM([1]Sheet1!$C$2:$K$5000)=TRIM(A150))*(TRIM([1]Sheet1!$C$2:$K$5000)&lt;&gt;""),TRIM([1]Sheet1!$A$2:$A$5000)&amp;"    "&amp;TRIM([1]Sheet1!$B$2:$B$5000),"")),"")</f>
        <v>扭扭解压龙蛋    13.97</v>
      </c>
    </row>
    <row r="151" ht="40.5" spans="1:2">
      <c r="A151" s="4" t="str">
        <v>913759792642</v>
      </c>
      <c r="B151" s="3" t="str" cm="1">
        <f t="array" ref="B151">IFERROR(_xlfn.TEXTJOIN(CHAR(10),TRUE,IF((TRIM([1]Sheet1!$C$2:$K$5000)=TRIM(A151))*(TRIM([1]Sheet1!$C$2:$K$5000)&lt;&gt;""),TRIM([1]Sheet1!$A$2:$A$5000)&amp;"    "&amp;TRIM([1]Sheet1!$B$2:$B$5000),"")),"")</f>
        <v>扭扭高尔夫球    11.0396</v>
      </c>
    </row>
    <row r="152" ht="40.5" spans="1:2">
      <c r="A152" s="4" t="str">
        <v>913771438728</v>
      </c>
      <c r="B152" s="3" t="str" cm="1">
        <f t="array" ref="B152">IFERROR(_xlfn.TEXTJOIN(CHAR(10),TRUE,IF((TRIM([1]Sheet1!$C$2:$K$5000)=TRIM(A152))*(TRIM([1]Sheet1!$C$2:$K$5000)&lt;&gt;""),TRIM([1]Sheet1!$A$2:$A$5000)&amp;"    "&amp;TRIM([1]Sheet1!$B$2:$B$5000),"")),"")</f>
        <v>扭扭高尔夫球    11.0396</v>
      </c>
    </row>
    <row r="153" ht="27" spans="1:2">
      <c r="A153" s="4" t="str">
        <v>913797299017</v>
      </c>
      <c r="B153" s="3" t="str" cm="1">
        <f t="array" ref="B153">IFERROR(_xlfn.TEXTJOIN(CHAR(10),TRUE,IF((TRIM([1]Sheet1!$C$2:$K$5000)=TRIM(A153))*(TRIM([1]Sheet1!$C$2:$K$5000)&lt;&gt;""),TRIM([1]Sheet1!$A$2:$A$5000)&amp;"    "&amp;TRIM([1]Sheet1!$B$2:$B$5000),"")),"")</f>
        <v>兔子蛋    5.2976</v>
      </c>
    </row>
    <row r="154" ht="27" spans="1:2">
      <c r="A154" s="4" t="str">
        <v>913812015529</v>
      </c>
      <c r="B154" s="3" t="str" cm="1">
        <f t="array" ref="B154">IFERROR(_xlfn.TEXTJOIN(CHAR(10),TRUE,IF((TRIM([1]Sheet1!$C$2:$K$5000)=TRIM(A154))*(TRIM([1]Sheet1!$C$2:$K$5000)&lt;&gt;""),TRIM([1]Sheet1!$A$2:$A$5000)&amp;"    "&amp;TRIM([1]Sheet1!$B$2:$B$5000),"")),"")</f>
        <v>兔子蛋    5.2976</v>
      </c>
    </row>
    <row r="155" ht="27" spans="1:2">
      <c r="A155" s="4" t="str">
        <v>913824250774</v>
      </c>
      <c r="B155" s="3" t="str" cm="1">
        <f t="array" ref="B155">IFERROR(_xlfn.TEXTJOIN(CHAR(10),TRUE,IF((TRIM([1]Sheet1!$C$2:$K$5000)=TRIM(A155))*(TRIM([1]Sheet1!$C$2:$K$5000)&lt;&gt;""),TRIM([1]Sheet1!$A$2:$A$5000)&amp;"    "&amp;TRIM([1]Sheet1!$B$2:$B$5000),"")),"")</f>
        <v>霉豆腐    12.386</v>
      </c>
    </row>
    <row r="156" ht="27" spans="1:2">
      <c r="A156" s="4" t="str">
        <v>914439364609</v>
      </c>
      <c r="B156" s="3" t="str" cm="1">
        <f t="array" ref="B156">IFERROR(_xlfn.TEXTJOIN(CHAR(10),TRUE,IF((TRIM([1]Sheet1!$C$2:$K$5000)=TRIM(A156))*(TRIM([1]Sheet1!$C$2:$K$5000)&lt;&gt;""),TRIM([1]Sheet1!$A$2:$A$5000)&amp;"    "&amp;TRIM([1]Sheet1!$B$2:$B$5000),"")),"")</f>
        <v>霉豆腐    12.386</v>
      </c>
    </row>
    <row r="157" ht="81" spans="1:2">
      <c r="A157" s="4" t="str">
        <v>914401826082</v>
      </c>
      <c r="B157" s="3" t="str" cm="1">
        <f t="array" ref="B157">IFERROR(_xlfn.TEXTJOIN(CHAR(10),TRUE,IF((TRIM([1]Sheet1!$C$2:$K$5000)=TRIM(A157))*(TRIM([1]Sheet1!$C$2:$K$5000)&lt;&gt;""),TRIM([1]Sheet1!$A$2:$A$5000)&amp;"    "&amp;TRIM([1]Sheet1!$B$2:$B$5000),"")),"")</f>
        <v>新月亮5cm    4.51616
新月亮8cm    8.10392</v>
      </c>
    </row>
    <row r="158" ht="81" spans="1:2">
      <c r="A158" s="4" t="str">
        <v>914382574896</v>
      </c>
      <c r="B158" s="3" t="str" cm="1">
        <f t="array" ref="B158">IFERROR(_xlfn.TEXTJOIN(CHAR(10),TRUE,IF((TRIM([1]Sheet1!$C$2:$K$5000)=TRIM(A158))*(TRIM([1]Sheet1!$C$2:$K$5000)&lt;&gt;""),TRIM([1]Sheet1!$A$2:$A$5000)&amp;"    "&amp;TRIM([1]Sheet1!$B$2:$B$5000),"")),"")</f>
        <v>新月亮5cm    4.51616
新月亮8cm    8.10392</v>
      </c>
    </row>
    <row r="159" ht="81" spans="1:2">
      <c r="A159" s="4" t="str">
        <v>914456949763</v>
      </c>
      <c r="B159" s="3" t="str" cm="1">
        <f t="array" ref="B159">IFERROR(_xlfn.TEXTJOIN(CHAR(10),TRUE,IF((TRIM([1]Sheet1!$C$2:$K$5000)=TRIM(A159))*(TRIM([1]Sheet1!$C$2:$K$5000)&lt;&gt;""),TRIM([1]Sheet1!$A$2:$A$5000)&amp;"    "&amp;TRIM([1]Sheet1!$B$2:$B$5000),"")),"")</f>
        <v>新月亮5cm    4.51616
新月亮8cm    8.10392</v>
      </c>
    </row>
    <row r="160" ht="27" spans="1:2">
      <c r="A160" s="4" t="str">
        <v>915846452195</v>
      </c>
      <c r="B160" s="3" t="str" cm="1">
        <f t="array" ref="B160">IFERROR(_xlfn.TEXTJOIN(CHAR(10),TRUE,IF((TRIM([1]Sheet1!$C$2:$K$5000)=TRIM(A160))*(TRIM([1]Sheet1!$C$2:$K$5000)&lt;&gt;""),TRIM([1]Sheet1!$A$2:$A$5000)&amp;"    "&amp;TRIM([1]Sheet1!$B$2:$B$5000),"")),"")</f>
        <v>超大发卡    5.8388</v>
      </c>
    </row>
    <row r="161" ht="27" spans="1:2">
      <c r="A161" s="4" t="str">
        <v>915773511467</v>
      </c>
      <c r="B161" s="3" t="str" cm="1">
        <f t="array" ref="B161">IFERROR(_xlfn.TEXTJOIN(CHAR(10),TRUE,IF((TRIM([1]Sheet1!$C$2:$K$5000)=TRIM(A161))*(TRIM([1]Sheet1!$C$2:$K$5000)&lt;&gt;""),TRIM([1]Sheet1!$A$2:$A$5000)&amp;"    "&amp;TRIM([1]Sheet1!$B$2:$B$5000),"")),"")</f>
        <v>超大发卡    5.8388</v>
      </c>
    </row>
    <row r="162" ht="40.5" spans="1:2">
      <c r="A162" s="4" t="str">
        <v>916418796387</v>
      </c>
      <c r="B162" s="3" t="str" cm="1">
        <f t="array" ref="B162">IFERROR(_xlfn.TEXTJOIN(CHAR(10),TRUE,IF((TRIM([1]Sheet1!$C$2:$K$5000)=TRIM(A162))*(TRIM([1]Sheet1!$C$2:$K$5000)&lt;&gt;""),TRIM([1]Sheet1!$A$2:$A$5000)&amp;"    "&amp;TRIM([1]Sheet1!$B$2:$B$5000),"")),"")</f>
        <v>指环王圣盔谷    8.162</v>
      </c>
    </row>
    <row r="163" ht="40.5" spans="1:2">
      <c r="A163" s="4" t="str">
        <v>916411704569</v>
      </c>
      <c r="B163" s="3" t="str" cm="1">
        <f t="array" ref="B163">IFERROR(_xlfn.TEXTJOIN(CHAR(10),TRUE,IF((TRIM([1]Sheet1!$C$2:$K$5000)=TRIM(A163))*(TRIM([1]Sheet1!$C$2:$K$5000)&lt;&gt;""),TRIM([1]Sheet1!$A$2:$A$5000)&amp;"    "&amp;TRIM([1]Sheet1!$B$2:$B$5000),"")),"")</f>
        <v>指环王圣盔谷    8.162</v>
      </c>
    </row>
    <row r="164" ht="40.5" spans="1:2">
      <c r="A164" s="4" t="str">
        <v>916410134467</v>
      </c>
      <c r="B164" s="3" t="str" cm="1">
        <f t="array" ref="B164">IFERROR(_xlfn.TEXTJOIN(CHAR(10),TRUE,IF((TRIM([1]Sheet1!$C$2:$K$5000)=TRIM(A164))*(TRIM([1]Sheet1!$C$2:$K$5000)&lt;&gt;""),TRIM([1]Sheet1!$A$2:$A$5000)&amp;"    "&amp;TRIM([1]Sheet1!$B$2:$B$5000),"")),"")</f>
        <v>健身兄弟猫    5.43125</v>
      </c>
    </row>
    <row r="165" ht="40.5" spans="1:2">
      <c r="A165" s="4" t="str">
        <v>916993179488</v>
      </c>
      <c r="B165" s="3" t="str" cm="1">
        <f t="array" ref="B165">IFERROR(_xlfn.TEXTJOIN(CHAR(10),TRUE,IF((TRIM([1]Sheet1!$C$2:$K$5000)=TRIM(A165))*(TRIM([1]Sheet1!$C$2:$K$5000)&lt;&gt;""),TRIM([1]Sheet1!$A$2:$A$5000)&amp;"    "&amp;TRIM([1]Sheet1!$B$2:$B$5000),"")),"")</f>
        <v>圣帕特里克小黄鸭    5.65576</v>
      </c>
    </row>
    <row r="166" ht="40.5" spans="1:2">
      <c r="A166" s="4" t="str">
        <v>916420055919</v>
      </c>
      <c r="B166" s="3" t="str" cm="1">
        <f t="array" ref="B166">IFERROR(_xlfn.TEXTJOIN(CHAR(10),TRUE,IF((TRIM([1]Sheet1!$C$2:$K$5000)=TRIM(A166))*(TRIM([1]Sheet1!$C$2:$K$5000)&lt;&gt;""),TRIM([1]Sheet1!$A$2:$A$5000)&amp;"    "&amp;TRIM([1]Sheet1!$B$2:$B$5000),"")),"")</f>
        <v>独角兽鸭子5cm    5.24678</v>
      </c>
    </row>
    <row r="167" ht="67.5" spans="1:2">
      <c r="A167" s="4" t="str">
        <v>916879203296</v>
      </c>
      <c r="B167" s="3" t="str" cm="1">
        <f t="array" ref="B167">IFERROR(_xlfn.TEXTJOIN(CHAR(10),TRUE,IF((TRIM([1]Sheet1!$C$2:$K$5000)=TRIM(A167))*(TRIM([1]Sheet1!$C$2:$K$5000)&lt;&gt;""),TRIM([1]Sheet1!$A$2:$A$5000)&amp;"    "&amp;TRIM([1]Sheet1!$B$2:$B$5000),"")),"")</f>
        <v>可爱小蜜蜂    3.1075
蜜蜂盒子    12.122</v>
      </c>
    </row>
    <row r="168" ht="67.5" spans="1:2">
      <c r="A168" s="4" t="str">
        <v>916890987436</v>
      </c>
      <c r="B168" s="3" t="str" cm="1">
        <f t="array" ref="B168">IFERROR(_xlfn.TEXTJOIN(CHAR(10),TRUE,IF((TRIM([1]Sheet1!$C$2:$K$5000)=TRIM(A168))*(TRIM([1]Sheet1!$C$2:$K$5000)&lt;&gt;""),TRIM([1]Sheet1!$A$2:$A$5000)&amp;"    "&amp;TRIM([1]Sheet1!$B$2:$B$5000),"")),"")</f>
        <v>可爱小蜜蜂    3.1075
蜜蜂盒子    12.122</v>
      </c>
    </row>
    <row r="169" ht="67.5" spans="1:2">
      <c r="A169" s="4" t="str">
        <v>917007533492</v>
      </c>
      <c r="B169" s="3" t="str" cm="1">
        <f t="array" ref="B169">IFERROR(_xlfn.TEXTJOIN(CHAR(10),TRUE,IF((TRIM([1]Sheet1!$C$2:$K$5000)=TRIM(A169))*(TRIM([1]Sheet1!$C$2:$K$5000)&lt;&gt;""),TRIM([1]Sheet1!$A$2:$A$5000)&amp;"    "&amp;TRIM([1]Sheet1!$B$2:$B$5000),"")),"")</f>
        <v>可爱小蜜蜂    3.1075
蜜蜂盒子    12.122</v>
      </c>
    </row>
    <row r="170" ht="27" spans="1:2">
      <c r="A170" s="4" t="str">
        <v>917023665416</v>
      </c>
      <c r="B170" s="3" t="str" cm="1">
        <f t="array" ref="B170">IFERROR(_xlfn.TEXTJOIN(CHAR(10),TRUE,IF((TRIM([1]Sheet1!$C$2:$K$5000)=TRIM(A170))*(TRIM([1]Sheet1!$C$2:$K$5000)&lt;&gt;""),TRIM([1]Sheet1!$A$2:$A$5000)&amp;"    "&amp;TRIM([1]Sheet1!$B$2:$B$5000),"")),"")</f>
        <v>小浣熊    4.98795</v>
      </c>
    </row>
    <row r="171" ht="27" spans="1:2">
      <c r="A171" s="4" t="str">
        <v>917033101019</v>
      </c>
      <c r="B171" s="3" t="str" cm="1">
        <f t="array" ref="B171">IFERROR(_xlfn.TEXTJOIN(CHAR(10),TRUE,IF((TRIM([1]Sheet1!$C$2:$K$5000)=TRIM(A171))*(TRIM([1]Sheet1!$C$2:$K$5000)&lt;&gt;""),TRIM([1]Sheet1!$A$2:$A$5000)&amp;"    "&amp;TRIM([1]Sheet1!$B$2:$B$5000),"")),"")</f>
        <v>小浣熊    4.98795</v>
      </c>
    </row>
    <row r="172" ht="27" spans="1:2">
      <c r="A172" s="4" t="str">
        <v>917683774787</v>
      </c>
      <c r="B172" s="3" t="str" cm="1">
        <f t="array" ref="B172">IFERROR(_xlfn.TEXTJOIN(CHAR(10),TRUE,IF((TRIM([1]Sheet1!$C$2:$K$5000)=TRIM(A172))*(TRIM([1]Sheet1!$C$2:$K$5000)&lt;&gt;""),TRIM([1]Sheet1!$A$2:$A$5000)&amp;"    "&amp;TRIM([1]Sheet1!$B$2:$B$5000),"")),"")</f>
        <v>魔鬼鱼    7.3546</v>
      </c>
    </row>
    <row r="173" ht="27" spans="1:2">
      <c r="A173" s="4" t="str">
        <v>917711998593</v>
      </c>
      <c r="B173" s="3" t="str" cm="1">
        <f t="array" ref="B173">IFERROR(_xlfn.TEXTJOIN(CHAR(10),TRUE,IF((TRIM([1]Sheet1!$C$2:$K$5000)=TRIM(A173))*(TRIM([1]Sheet1!$C$2:$K$5000)&lt;&gt;""),TRIM([1]Sheet1!$A$2:$A$5000)&amp;"    "&amp;TRIM([1]Sheet1!$B$2:$B$5000),"")),"")</f>
        <v>魔鬼鱼    7.3546</v>
      </c>
    </row>
    <row r="174" ht="27" spans="1:2">
      <c r="A174" s="4" t="str">
        <v>917681985630</v>
      </c>
      <c r="B174" s="3" t="str" cm="1">
        <f t="array" ref="B174">IFERROR(_xlfn.TEXTJOIN(CHAR(10),TRUE,IF((TRIM([1]Sheet1!$C$2:$K$5000)=TRIM(A174))*(TRIM([1]Sheet1!$C$2:$K$5000)&lt;&gt;""),TRIM([1]Sheet1!$A$2:$A$5000)&amp;"    "&amp;TRIM([1]Sheet1!$B$2:$B$5000),"")),"")</f>
        <v>大猩猩    5.9675</v>
      </c>
    </row>
    <row r="175" ht="202.5" spans="1:2">
      <c r="A175" s="4" t="str">
        <v>917651332468</v>
      </c>
      <c r="B175" s="3" t="str" cm="1">
        <f t="array" ref="B175">IFERROR(_xlfn.TEXTJOIN(CHAR(10),TRUE,IF((TRIM([1]Sheet1!$C$2:$K$5000)=TRIM(A175))*(TRIM([1]Sheet1!$C$2:$K$5000)&lt;&gt;""),TRIM([1]Sheet1!$A$2:$A$5000)&amp;"    "&amp;TRIM([1]Sheet1!$B$2:$B$5000),"")),"")</f>
        <v>海绵宝宝雕像    9.21008
派大星雕像    9.812
章鱼哥雕像    8.83784
蟹老板雕像    9.62852
痞老板雕像    9.37112</v>
      </c>
    </row>
    <row r="176" ht="40.5" spans="1:2">
      <c r="A176" s="4" t="str">
        <v>917700328777</v>
      </c>
      <c r="B176" s="3" t="str" cm="1">
        <f t="array" ref="B176">IFERROR(_xlfn.TEXTJOIN(CHAR(10),TRUE,IF((TRIM([1]Sheet1!$C$2:$K$5000)=TRIM(A176))*(TRIM([1]Sheet1!$C$2:$K$5000)&lt;&gt;""),TRIM([1]Sheet1!$A$2:$A$5000)&amp;"    "&amp;TRIM([1]Sheet1!$B$2:$B$5000),"")),"")</f>
        <v>球类解压萝卜    9.35</v>
      </c>
    </row>
    <row r="177" ht="40.5" spans="1:2">
      <c r="A177" s="4" t="str">
        <v>917659869694</v>
      </c>
      <c r="B177" s="3" t="str" cm="1">
        <f t="array" ref="B177">IFERROR(_xlfn.TEXTJOIN(CHAR(10),TRUE,IF((TRIM([1]Sheet1!$C$2:$K$5000)=TRIM(A177))*(TRIM([1]Sheet1!$C$2:$K$5000)&lt;&gt;""),TRIM([1]Sheet1!$A$2:$A$5000)&amp;"    "&amp;TRIM([1]Sheet1!$B$2:$B$5000),"")),"")</f>
        <v>球类解压萝卜    9.35</v>
      </c>
    </row>
    <row r="178" ht="54" spans="1:2">
      <c r="A178" s="4" t="str">
        <v>917695402638</v>
      </c>
      <c r="B178" s="3" t="str" cm="1">
        <f t="array" ref="B178">IFERROR(_xlfn.TEXTJOIN(CHAR(10),TRUE,IF((TRIM([1]Sheet1!$C$2:$K$5000)=TRIM(A178))*(TRIM([1]Sheet1!$C$2:$K$5000)&lt;&gt;""),TRIM([1]Sheet1!$A$2:$A$5000)&amp;"    "&amp;TRIM([1]Sheet1!$B$2:$B$5000),"")),"")</f>
        <v>RTX5090    5.82428
RTX4090    6.897</v>
      </c>
    </row>
    <row r="179" ht="54" spans="1:2">
      <c r="A179" s="4" t="str">
        <v>917728643993</v>
      </c>
      <c r="B179" s="3" t="str" cm="1">
        <f t="array" ref="B179">IFERROR(_xlfn.TEXTJOIN(CHAR(10),TRUE,IF((TRIM([1]Sheet1!$C$2:$K$5000)=TRIM(A179))*(TRIM([1]Sheet1!$C$2:$K$5000)&lt;&gt;""),TRIM([1]Sheet1!$A$2:$A$5000)&amp;"    "&amp;TRIM([1]Sheet1!$B$2:$B$5000),"")),"")</f>
        <v>RTX5090    5.82428
RTX4090    6.897</v>
      </c>
    </row>
    <row r="180" ht="27" spans="1:2">
      <c r="A180" s="4" t="str">
        <v>918971092761</v>
      </c>
      <c r="B180" s="3" t="str" cm="1">
        <f t="array" ref="B180">IFERROR(_xlfn.TEXTJOIN(CHAR(10),TRUE,IF((TRIM([1]Sheet1!$C$2:$K$5000)=TRIM(A180))*(TRIM([1]Sheet1!$C$2:$K$5000)&lt;&gt;""),TRIM([1]Sheet1!$A$2:$A$5000)&amp;"    "&amp;TRIM([1]Sheet1!$B$2:$B$5000),"")),"")</f>
        <v>玫瑰乌龟    4.895</v>
      </c>
    </row>
    <row r="181" ht="40.5" spans="1:2">
      <c r="A181" s="4" t="str">
        <v>920276936664</v>
      </c>
      <c r="B181" s="3" t="str" cm="1">
        <f t="array" ref="B181">IFERROR(_xlfn.TEXTJOIN(CHAR(10),TRUE,IF((TRIM([1]Sheet1!$C$2:$K$5000)=TRIM(A181))*(TRIM([1]Sheet1!$C$2:$K$5000)&lt;&gt;""),TRIM([1]Sheet1!$A$2:$A$5000)&amp;"    "&amp;TRIM([1]Sheet1!$B$2:$B$5000),"")),"")</f>
        <v>我的世界小床8cm    6.314</v>
      </c>
    </row>
    <row r="182" ht="40.5" spans="1:2">
      <c r="A182" s="4" t="str">
        <v>918261592451</v>
      </c>
      <c r="B182" s="3" t="str" cm="1">
        <f t="array" ref="B182">IFERROR(_xlfn.TEXTJOIN(CHAR(10),TRUE,IF((TRIM([1]Sheet1!$C$2:$K$5000)=TRIM(A182))*(TRIM([1]Sheet1!$C$2:$K$5000)&lt;&gt;""),TRIM([1]Sheet1!$A$2:$A$5000)&amp;"    "&amp;TRIM([1]Sheet1!$B$2:$B$5000),"")),"")</f>
        <v>我的世界小床8cm    6.314</v>
      </c>
    </row>
    <row r="183" ht="27" spans="1:2">
      <c r="A183" s="4" t="str">
        <v>918977034229</v>
      </c>
      <c r="B183" s="3" t="str" cm="1">
        <f t="array" ref="B183">IFERROR(_xlfn.TEXTJOIN(CHAR(10),TRUE,IF((TRIM([1]Sheet1!$C$2:$K$5000)=TRIM(A183))*(TRIM([1]Sheet1!$C$2:$K$5000)&lt;&gt;""),TRIM([1]Sheet1!$A$2:$A$5000)&amp;"    "&amp;TRIM([1]Sheet1!$B$2:$B$5000),"")),"")</f>
        <v>蝴蝶龙    5.23534</v>
      </c>
    </row>
    <row r="184" ht="27" spans="1:2">
      <c r="A184" s="4" t="str">
        <v>919014041184</v>
      </c>
      <c r="B184" s="3" t="str" cm="1">
        <f t="array" ref="B184">IFERROR(_xlfn.TEXTJOIN(CHAR(10),TRUE,IF((TRIM([1]Sheet1!$C$2:$K$5000)=TRIM(A184))*(TRIM([1]Sheet1!$C$2:$K$5000)&lt;&gt;""),TRIM([1]Sheet1!$A$2:$A$5000)&amp;"    "&amp;TRIM([1]Sheet1!$B$2:$B$5000),"")),"")</f>
        <v>蝴蝶龙    5.23534</v>
      </c>
    </row>
    <row r="185" ht="54" spans="1:2">
      <c r="A185" s="4" t="str">
        <v>919029294038</v>
      </c>
      <c r="B185" s="3" t="str" cm="1">
        <f t="array" ref="B185">IFERROR(_xlfn.TEXTJOIN(CHAR(10),TRUE,IF((TRIM([1]Sheet1!$C$2:$K$5000)=TRIM(A185))*(TRIM([1]Sheet1!$C$2:$K$5000)&lt;&gt;""),TRIM([1]Sheet1!$A$2:$A$5000)&amp;"    "&amp;TRIM([1]Sheet1!$B$2:$B$5000),"")),"")</f>
        <v>扭扭中空滚筒按摩棒    10.0826</v>
      </c>
    </row>
    <row r="186" ht="54" spans="1:2">
      <c r="A186" s="4" t="str">
        <v>919043008949</v>
      </c>
      <c r="B186" s="3" t="str" cm="1">
        <f t="array" ref="B186">IFERROR(_xlfn.TEXTJOIN(CHAR(10),TRUE,IF((TRIM([1]Sheet1!$C$2:$K$5000)=TRIM(A186))*(TRIM([1]Sheet1!$C$2:$K$5000)&lt;&gt;""),TRIM([1]Sheet1!$A$2:$A$5000)&amp;"    "&amp;TRIM([1]Sheet1!$B$2:$B$5000),"")),"")</f>
        <v>扭扭中空滚筒按摩棒    10.0826</v>
      </c>
    </row>
    <row r="187" ht="27" spans="1:2">
      <c r="A187" s="4" t="str">
        <v>920229727537</v>
      </c>
      <c r="B187" s="3" t="str" cm="1">
        <f t="array" ref="B187">IFERROR(_xlfn.TEXTJOIN(CHAR(10),TRUE,IF((TRIM([1]Sheet1!$C$2:$K$5000)=TRIM(A187))*(TRIM([1]Sheet1!$C$2:$K$5000)&lt;&gt;""),TRIM([1]Sheet1!$A$2:$A$5000)&amp;"    "&amp;TRIM([1]Sheet1!$B$2:$B$5000),"")),"")</f>
        <v>玫瑰龙    6.3822</v>
      </c>
    </row>
    <row r="188" ht="27" spans="1:2">
      <c r="A188" s="4" t="str">
        <v>920294245800</v>
      </c>
      <c r="B188" s="3" t="str" cm="1">
        <f t="array" ref="B188">IFERROR(_xlfn.TEXTJOIN(CHAR(10),TRUE,IF((TRIM([1]Sheet1!$C$2:$K$5000)=TRIM(A188))*(TRIM([1]Sheet1!$C$2:$K$5000)&lt;&gt;""),TRIM([1]Sheet1!$A$2:$A$5000)&amp;"    "&amp;TRIM([1]Sheet1!$B$2:$B$5000),"")),"")</f>
        <v>郁金香龙    5.522</v>
      </c>
    </row>
    <row r="189" ht="40.5" spans="1:2">
      <c r="A189" s="4" t="str">
        <v>918994068398</v>
      </c>
      <c r="B189" s="3" t="str" cm="1">
        <f t="array" ref="B189">IFERROR(_xlfn.TEXTJOIN(CHAR(10),TRUE,IF((TRIM([1]Sheet1!$C$2:$K$5000)=TRIM(A189))*(TRIM([1]Sheet1!$C$2:$K$5000)&lt;&gt;""),TRIM([1]Sheet1!$A$2:$A$5000)&amp;"    "&amp;TRIM([1]Sheet1!$B$2:$B$5000),"")),"")</f>
        <v>随机拼豆笔    4.07</v>
      </c>
    </row>
    <row r="190" ht="40.5" spans="1:2">
      <c r="A190" s="4" t="str">
        <v>918974034216</v>
      </c>
      <c r="B190" s="3" t="str" cm="1">
        <f t="array" ref="B190">IFERROR(_xlfn.TEXTJOIN(CHAR(10),TRUE,IF((TRIM([1]Sheet1!$C$2:$K$5000)=TRIM(A190))*(TRIM([1]Sheet1!$C$2:$K$5000)&lt;&gt;""),TRIM([1]Sheet1!$A$2:$A$5000)&amp;"    "&amp;TRIM([1]Sheet1!$B$2:$B$5000),"")),"")</f>
        <v>随机拼豆笔    4.07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加载中…</cp:lastModifiedBy>
  <dcterms:created xsi:type="dcterms:W3CDTF">2026-03-17T10:10:25Z</dcterms:created>
  <dcterms:modified xsi:type="dcterms:W3CDTF">2026-03-17T10:10:52Z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C5C7AB374774472795D5E1C792065159_11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